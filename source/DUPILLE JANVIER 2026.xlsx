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ilemaistre\Tonnages\Contrôle mensuel exutoires\Tonnages CU\01 JANVIER\"/>
    </mc:Choice>
  </mc:AlternateContent>
  <xr:revisionPtr revIDLastSave="0" documentId="13_ncr:1_{98A1D8DD-7282-46EB-A2F3-EC176466AB56}" xr6:coauthVersionLast="47" xr6:coauthVersionMax="47" xr10:uidLastSave="{00000000-0000-0000-0000-000000000000}"/>
  <bookViews>
    <workbookView xWindow="-120" yWindow="-16320" windowWidth="29040" windowHeight="15720" activeTab="1" xr2:uid="{4795D4F1-0F01-7441-8BAA-08A6FF39786A}"/>
  </bookViews>
  <sheets>
    <sheet name="CLIENTS PRIVES" sheetId="1" r:id="rId1"/>
    <sheet name="CU GPSEO" sheetId="2" r:id="rId2"/>
    <sheet name="CU DECHETTERIE" sheetId="3" r:id="rId3"/>
    <sheet name="SMIRTO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14" i="4"/>
  <c r="H6" i="3"/>
  <c r="H15" i="3"/>
  <c r="H20" i="3"/>
  <c r="H35" i="3"/>
  <c r="H25" i="3"/>
  <c r="H9" i="1"/>
  <c r="H34" i="2"/>
  <c r="H6" i="1"/>
  <c r="H30" i="3"/>
  <c r="H19" i="4"/>
</calcChain>
</file>

<file path=xl/sharedStrings.xml><?xml version="1.0" encoding="utf-8"?>
<sst xmlns="http://schemas.openxmlformats.org/spreadsheetml/2006/main" count="465" uniqueCount="41">
  <si>
    <t>ID</t>
  </si>
  <si>
    <t>Dates</t>
  </si>
  <si>
    <t>lib_client</t>
  </si>
  <si>
    <t>lib_zone</t>
  </si>
  <si>
    <t>lib_zone_dest</t>
  </si>
  <si>
    <t>lib_transporteur</t>
  </si>
  <si>
    <t>lib_produit</t>
  </si>
  <si>
    <t>net</t>
  </si>
  <si>
    <t>GPSO</t>
  </si>
  <si>
    <t>AUBERGENVILLE</t>
  </si>
  <si>
    <t>DUPILLE 78</t>
  </si>
  <si>
    <t>SOTREMA</t>
  </si>
  <si>
    <t>BOIS B BRUT</t>
  </si>
  <si>
    <t>DECHETTERIE DES CLOSEAUX/MANTES LA JOLIE</t>
  </si>
  <si>
    <t>LIMAY</t>
  </si>
  <si>
    <t>DECHETS VERTS</t>
  </si>
  <si>
    <t>ROSNY SUR SEINE</t>
  </si>
  <si>
    <t>SMIRTOM</t>
  </si>
  <si>
    <t>DECHETTERIE MARINES</t>
  </si>
  <si>
    <t>DECHETTERIE VIGNY</t>
  </si>
  <si>
    <t>SOTREMA DUPILLE78</t>
  </si>
  <si>
    <t>LEROY MERLIN</t>
  </si>
  <si>
    <t>BOIS AB BRUT</t>
  </si>
  <si>
    <t>COLLECTIVERT</t>
  </si>
  <si>
    <t>COLLECTE GPSEO</t>
  </si>
  <si>
    <t>DECHETTERIE GARGENVILLE</t>
  </si>
  <si>
    <t>MAIRIE DE PORCHEVILLE</t>
  </si>
  <si>
    <t>CTM PORCHEVILLE</t>
  </si>
  <si>
    <t>DECHETTERIE LIMAY</t>
  </si>
  <si>
    <t>DECHETTERIE VAUCOULEURS/MANTES LA VILLE</t>
  </si>
  <si>
    <t>T19</t>
  </si>
  <si>
    <t>MAIRIE DE MANGNANVILLE</t>
  </si>
  <si>
    <t>CTM MAGNANVILLE</t>
  </si>
  <si>
    <t>DECHETTERIE MAGNY EN VEXIN</t>
  </si>
  <si>
    <t>DECHETTERIE PROFESSIONNEL</t>
  </si>
  <si>
    <t>SOUCHES / GROS BOIS</t>
  </si>
  <si>
    <t>SOTREMA COMPTE CLIENT</t>
  </si>
  <si>
    <t>Colonne1</t>
  </si>
  <si>
    <t>ERREUR PROVENANCE =&gt; EPONE</t>
  </si>
  <si>
    <t>ERREUR PROVENANCE</t>
  </si>
  <si>
    <t>ERREUR PROVENANCE =&gt; VAUCOULEURS/MANTES LA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</si>
</sst>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trike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3" fontId="2" fillId="2" borderId="1" xfId="0" applyNumberFormat="1" applyFont="1" applyFill="1" applyBorder="1"/>
    <xf numFmtId="3" fontId="0" fillId="3" borderId="0" xfId="0" applyNumberFormat="1" applyFill="1"/>
    <xf numFmtId="0" fontId="3" fillId="0" borderId="0" xfId="0" applyFont="1"/>
    <xf numFmtId="14" fontId="3" fillId="0" borderId="0" xfId="0" applyNumberFormat="1" applyFont="1"/>
    <xf numFmtId="3" fontId="4" fillId="0" borderId="0" xfId="0" applyNumberFormat="1" applyFont="1"/>
    <xf numFmtId="0" fontId="0" fillId="0" borderId="2" xfId="0" applyBorder="1"/>
    <xf numFmtId="3" fontId="3" fillId="3" borderId="0" xfId="0" applyNumberFormat="1" applyFont="1" applyFill="1"/>
    <xf numFmtId="0" fontId="5" fillId="0" borderId="0" xfId="0" applyFont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00000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5507E-2AE4-B547-ADF0-805674B253B6}" name="Tableau1" displayName="Tableau1" ref="A1:I17" totalsRowShown="0" dataDxfId="10" headerRowBorderDxfId="11" tableBorderDxfId="9">
  <autoFilter ref="A1:I17" xr:uid="{BF55507E-2AE4-B547-ADF0-805674B253B6}">
    <filterColumn colId="5">
      <filters>
        <filter val="SOTREMA"/>
      </filters>
    </filterColumn>
  </autoFilter>
  <tableColumns count="9">
    <tableColumn id="1" xr3:uid="{FAB3A998-562E-5642-99EF-A6835C6BBAA6}" name="ID" dataDxfId="8"/>
    <tableColumn id="2" xr3:uid="{A1D1CA5B-EEB2-9649-B9E3-A042937237EC}" name="Dates" dataDxfId="7"/>
    <tableColumn id="3" xr3:uid="{419FDC96-2A61-0A48-944F-9DA92B950B1A}" name="lib_client" dataDxfId="6"/>
    <tableColumn id="4" xr3:uid="{47B8FE46-DBA0-064D-9110-A141BAC0FEE4}" name="lib_zone" dataDxfId="5"/>
    <tableColumn id="5" xr3:uid="{EF141A82-42A7-1640-8630-BB3467DB2125}" name="lib_zone_dest" dataDxfId="4"/>
    <tableColumn id="6" xr3:uid="{48179AD6-8EDD-9247-97CF-8C02678553F4}" name="lib_transporteur" dataDxfId="3"/>
    <tableColumn id="7" xr3:uid="{A1B5E5BE-297C-8B49-83D7-59EF2EC1508E}" name="lib_produit" dataDxfId="2"/>
    <tableColumn id="8" xr3:uid="{9F120BE3-1ED7-AB47-AFB4-E149BA030317}" name="net" dataDxfId="1"/>
    <tableColumn id="9" xr3:uid="{1C0C46CB-5865-4320-B864-B9A25F16253C}" name="Colonne1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2C69-87AF-CC43-B6D6-D84335E4E6F1}">
  <dimension ref="A1:I17"/>
  <sheetViews>
    <sheetView zoomScale="120" zoomScaleNormal="120" workbookViewId="0">
      <selection activeCell="A12" sqref="A1:I17"/>
    </sheetView>
  </sheetViews>
  <sheetFormatPr baseColWidth="10" defaultRowHeight="15.75" x14ac:dyDescent="0.25"/>
  <cols>
    <col min="1" max="1" width="7.125" bestFit="1" customWidth="1"/>
    <col min="3" max="3" width="24.375" bestFit="1" customWidth="1"/>
    <col min="4" max="4" width="36.5" bestFit="1" customWidth="1"/>
    <col min="5" max="5" width="13.375" customWidth="1"/>
    <col min="6" max="6" width="15.5" customWidth="1"/>
    <col min="7" max="7" width="14.375" bestFit="1" customWidth="1"/>
    <col min="8" max="8" width="9" bestFit="1" customWidth="1"/>
  </cols>
  <sheetData>
    <row r="1" spans="1:9" s="9" customFormat="1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9" t="s">
        <v>37</v>
      </c>
    </row>
    <row r="2" spans="1:9" x14ac:dyDescent="0.25">
      <c r="A2">
        <v>127584</v>
      </c>
      <c r="B2" s="2">
        <v>46042</v>
      </c>
      <c r="C2" t="s">
        <v>31</v>
      </c>
      <c r="D2" t="s">
        <v>32</v>
      </c>
      <c r="E2" t="s">
        <v>10</v>
      </c>
      <c r="F2" t="s">
        <v>11</v>
      </c>
      <c r="G2" t="s">
        <v>15</v>
      </c>
      <c r="H2" s="5">
        <v>1740</v>
      </c>
      <c r="I2" s="12"/>
    </row>
    <row r="3" spans="1:9" x14ac:dyDescent="0.25">
      <c r="A3">
        <v>127852</v>
      </c>
      <c r="B3" s="2">
        <v>46049</v>
      </c>
      <c r="C3" t="s">
        <v>26</v>
      </c>
      <c r="D3" t="s">
        <v>27</v>
      </c>
      <c r="E3" t="s">
        <v>10</v>
      </c>
      <c r="F3" t="s">
        <v>11</v>
      </c>
      <c r="G3" t="s">
        <v>15</v>
      </c>
      <c r="H3" s="5">
        <v>1520</v>
      </c>
      <c r="I3" s="12"/>
    </row>
    <row r="4" spans="1:9" x14ac:dyDescent="0.25">
      <c r="A4">
        <v>127855</v>
      </c>
      <c r="B4" s="2">
        <v>46049</v>
      </c>
      <c r="C4" t="s">
        <v>26</v>
      </c>
      <c r="D4" t="s">
        <v>27</v>
      </c>
      <c r="E4" t="s">
        <v>10</v>
      </c>
      <c r="F4" t="s">
        <v>11</v>
      </c>
      <c r="G4" t="s">
        <v>15</v>
      </c>
      <c r="H4" s="5">
        <v>3180</v>
      </c>
      <c r="I4" s="12"/>
    </row>
    <row r="5" spans="1:9" x14ac:dyDescent="0.25">
      <c r="A5" s="6">
        <v>127996</v>
      </c>
      <c r="B5" s="7">
        <v>46051</v>
      </c>
      <c r="C5" s="6" t="s">
        <v>31</v>
      </c>
      <c r="D5" s="6" t="s">
        <v>32</v>
      </c>
      <c r="E5" s="6" t="s">
        <v>10</v>
      </c>
      <c r="F5" s="6" t="s">
        <v>11</v>
      </c>
      <c r="G5" s="6" t="s">
        <v>15</v>
      </c>
      <c r="H5" s="10">
        <v>1740</v>
      </c>
      <c r="I5" s="13" t="s">
        <v>36</v>
      </c>
    </row>
    <row r="6" spans="1:9" hidden="1" x14ac:dyDescent="0.25">
      <c r="B6" s="2"/>
      <c r="H6" s="8">
        <f>SUBTOTAL(109,H2:H5)</f>
        <v>8180</v>
      </c>
      <c r="I6" s="12"/>
    </row>
    <row r="7" spans="1:9" x14ac:dyDescent="0.25">
      <c r="A7">
        <v>127106</v>
      </c>
      <c r="B7" s="2">
        <v>46030</v>
      </c>
      <c r="C7" t="s">
        <v>11</v>
      </c>
      <c r="D7" t="s">
        <v>21</v>
      </c>
      <c r="E7" t="s">
        <v>10</v>
      </c>
      <c r="F7" t="s">
        <v>11</v>
      </c>
      <c r="G7" t="s">
        <v>22</v>
      </c>
      <c r="H7" s="5">
        <v>5760</v>
      </c>
      <c r="I7" s="12"/>
    </row>
    <row r="8" spans="1:9" x14ac:dyDescent="0.25">
      <c r="A8">
        <v>128024</v>
      </c>
      <c r="B8" s="2">
        <v>46052</v>
      </c>
      <c r="C8" t="s">
        <v>11</v>
      </c>
      <c r="D8" t="s">
        <v>21</v>
      </c>
      <c r="E8" t="s">
        <v>10</v>
      </c>
      <c r="F8" t="s">
        <v>11</v>
      </c>
      <c r="G8" t="s">
        <v>22</v>
      </c>
      <c r="H8" s="5">
        <v>5440</v>
      </c>
      <c r="I8" s="12"/>
    </row>
    <row r="9" spans="1:9" hidden="1" x14ac:dyDescent="0.25">
      <c r="B9" s="2"/>
      <c r="H9" s="8">
        <f>SUBTOTAL(109,H7:H8)</f>
        <v>11200</v>
      </c>
      <c r="I9" s="12"/>
    </row>
    <row r="10" spans="1:9" hidden="1" x14ac:dyDescent="0.25">
      <c r="B10" s="2"/>
      <c r="H10" s="8"/>
      <c r="I10" s="12"/>
    </row>
    <row r="11" spans="1:9" hidden="1" x14ac:dyDescent="0.25">
      <c r="B11" s="2"/>
      <c r="H11" s="1"/>
      <c r="I11" s="12"/>
    </row>
    <row r="12" spans="1:9" x14ac:dyDescent="0.25">
      <c r="A12">
        <v>127994</v>
      </c>
      <c r="B12" s="2">
        <v>46051</v>
      </c>
      <c r="C12" t="s">
        <v>11</v>
      </c>
      <c r="D12" t="s">
        <v>34</v>
      </c>
      <c r="E12" t="s">
        <v>10</v>
      </c>
      <c r="F12" t="s">
        <v>11</v>
      </c>
      <c r="G12" t="s">
        <v>15</v>
      </c>
      <c r="H12" s="1">
        <v>5460</v>
      </c>
      <c r="I12" s="12"/>
    </row>
    <row r="13" spans="1:9" x14ac:dyDescent="0.25">
      <c r="A13">
        <v>127042</v>
      </c>
      <c r="B13" s="2">
        <v>46024</v>
      </c>
      <c r="C13" t="s">
        <v>11</v>
      </c>
      <c r="D13" t="s">
        <v>34</v>
      </c>
      <c r="E13" t="s">
        <v>10</v>
      </c>
      <c r="F13" t="s">
        <v>11</v>
      </c>
      <c r="G13" t="s">
        <v>35</v>
      </c>
      <c r="H13" s="1">
        <v>11280</v>
      </c>
      <c r="I13" s="12"/>
    </row>
    <row r="14" spans="1:9" hidden="1" x14ac:dyDescent="0.25">
      <c r="A14">
        <v>127638</v>
      </c>
      <c r="B14" s="2">
        <v>46043</v>
      </c>
      <c r="C14" t="s">
        <v>20</v>
      </c>
      <c r="D14" t="s">
        <v>16</v>
      </c>
      <c r="E14" t="s">
        <v>10</v>
      </c>
      <c r="F14" t="s">
        <v>23</v>
      </c>
      <c r="G14" t="s">
        <v>12</v>
      </c>
      <c r="H14" s="1">
        <v>22260</v>
      </c>
      <c r="I14" s="12"/>
    </row>
    <row r="15" spans="1:9" hidden="1" x14ac:dyDescent="0.25">
      <c r="A15">
        <v>127148</v>
      </c>
      <c r="B15" s="2">
        <v>46030</v>
      </c>
      <c r="C15" t="s">
        <v>20</v>
      </c>
      <c r="D15" t="s">
        <v>16</v>
      </c>
      <c r="E15" t="s">
        <v>10</v>
      </c>
      <c r="F15" t="s">
        <v>23</v>
      </c>
      <c r="G15" t="s">
        <v>15</v>
      </c>
      <c r="H15" s="1">
        <v>22020</v>
      </c>
      <c r="I15" s="12"/>
    </row>
    <row r="16" spans="1:9" hidden="1" x14ac:dyDescent="0.25">
      <c r="A16">
        <v>127748</v>
      </c>
      <c r="B16" s="2">
        <v>46045</v>
      </c>
      <c r="C16" t="s">
        <v>20</v>
      </c>
      <c r="D16" t="s">
        <v>16</v>
      </c>
      <c r="E16" t="s">
        <v>10</v>
      </c>
      <c r="F16" t="s">
        <v>23</v>
      </c>
      <c r="G16" t="s">
        <v>15</v>
      </c>
      <c r="H16" s="1">
        <v>21160</v>
      </c>
      <c r="I16" s="12"/>
    </row>
    <row r="17" spans="1:9" hidden="1" x14ac:dyDescent="0.25">
      <c r="A17">
        <v>127761</v>
      </c>
      <c r="B17" s="2">
        <v>46045</v>
      </c>
      <c r="C17" t="s">
        <v>20</v>
      </c>
      <c r="D17" t="s">
        <v>16</v>
      </c>
      <c r="E17" t="s">
        <v>10</v>
      </c>
      <c r="F17" t="s">
        <v>23</v>
      </c>
      <c r="G17" t="s">
        <v>15</v>
      </c>
      <c r="H17" s="1">
        <v>21880</v>
      </c>
      <c r="I17" s="1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5F7-CC02-4209-963B-5BE01309D788}">
  <dimension ref="A1:H34"/>
  <sheetViews>
    <sheetView tabSelected="1" workbookViewId="0">
      <selection activeCell="A19" sqref="A19"/>
    </sheetView>
  </sheetViews>
  <sheetFormatPr baseColWidth="10" defaultRowHeight="15.75" x14ac:dyDescent="0.25"/>
  <cols>
    <col min="3" max="3" width="9.25" customWidth="1"/>
    <col min="4" max="4" width="13.75" customWidth="1"/>
  </cols>
  <sheetData>
    <row r="1" spans="1:8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>
        <v>127063</v>
      </c>
      <c r="B2" s="2">
        <v>46027</v>
      </c>
      <c r="C2" t="s">
        <v>8</v>
      </c>
      <c r="D2" t="s">
        <v>24</v>
      </c>
      <c r="E2" t="s">
        <v>10</v>
      </c>
      <c r="F2" t="s">
        <v>11</v>
      </c>
      <c r="G2" t="s">
        <v>15</v>
      </c>
      <c r="H2" s="5">
        <v>480</v>
      </c>
    </row>
    <row r="3" spans="1:8" x14ac:dyDescent="0.25">
      <c r="A3">
        <v>127071</v>
      </c>
      <c r="B3" s="2">
        <v>46027</v>
      </c>
      <c r="C3" t="s">
        <v>8</v>
      </c>
      <c r="D3">
        <v>290</v>
      </c>
      <c r="E3" t="s">
        <v>10</v>
      </c>
      <c r="F3" t="s">
        <v>11</v>
      </c>
      <c r="G3" t="s">
        <v>15</v>
      </c>
      <c r="H3" s="5">
        <v>280</v>
      </c>
    </row>
    <row r="4" spans="1:8" x14ac:dyDescent="0.25">
      <c r="A4">
        <v>127082</v>
      </c>
      <c r="B4" s="2">
        <v>46027</v>
      </c>
      <c r="C4" t="s">
        <v>8</v>
      </c>
      <c r="D4">
        <v>290</v>
      </c>
      <c r="E4" t="s">
        <v>10</v>
      </c>
      <c r="F4" t="s">
        <v>11</v>
      </c>
      <c r="G4" t="s">
        <v>15</v>
      </c>
      <c r="H4" s="5">
        <v>220</v>
      </c>
    </row>
    <row r="5" spans="1:8" x14ac:dyDescent="0.25">
      <c r="A5">
        <v>127087</v>
      </c>
      <c r="B5" s="2">
        <v>46028</v>
      </c>
      <c r="C5" t="s">
        <v>8</v>
      </c>
      <c r="D5">
        <v>290</v>
      </c>
      <c r="E5" t="s">
        <v>10</v>
      </c>
      <c r="F5" t="s">
        <v>11</v>
      </c>
      <c r="G5" t="s">
        <v>15</v>
      </c>
      <c r="H5" s="5">
        <v>140</v>
      </c>
    </row>
    <row r="6" spans="1:8" x14ac:dyDescent="0.25">
      <c r="A6">
        <v>127088</v>
      </c>
      <c r="B6" s="2">
        <v>46028</v>
      </c>
      <c r="C6" t="s">
        <v>8</v>
      </c>
      <c r="D6">
        <v>290</v>
      </c>
      <c r="E6" t="s">
        <v>10</v>
      </c>
      <c r="F6" t="s">
        <v>11</v>
      </c>
      <c r="G6" t="s">
        <v>15</v>
      </c>
      <c r="H6" s="5">
        <v>160</v>
      </c>
    </row>
    <row r="7" spans="1:8" x14ac:dyDescent="0.25">
      <c r="A7">
        <v>127089</v>
      </c>
      <c r="B7" s="2">
        <v>46028</v>
      </c>
      <c r="C7" t="s">
        <v>8</v>
      </c>
      <c r="D7">
        <v>300</v>
      </c>
      <c r="E7" t="s">
        <v>10</v>
      </c>
      <c r="F7" t="s">
        <v>11</v>
      </c>
      <c r="G7" t="s">
        <v>15</v>
      </c>
      <c r="H7" s="5">
        <v>120</v>
      </c>
    </row>
    <row r="8" spans="1:8" x14ac:dyDescent="0.25">
      <c r="A8">
        <v>127092</v>
      </c>
      <c r="B8" s="2">
        <v>46028</v>
      </c>
      <c r="C8" t="s">
        <v>8</v>
      </c>
      <c r="D8">
        <v>290</v>
      </c>
      <c r="E8" t="s">
        <v>10</v>
      </c>
      <c r="F8" t="s">
        <v>11</v>
      </c>
      <c r="G8" t="s">
        <v>15</v>
      </c>
      <c r="H8" s="5">
        <v>200</v>
      </c>
    </row>
    <row r="9" spans="1:8" x14ac:dyDescent="0.25">
      <c r="A9">
        <v>127093</v>
      </c>
      <c r="B9" s="2">
        <v>46028</v>
      </c>
      <c r="C9" t="s">
        <v>8</v>
      </c>
      <c r="D9">
        <v>300</v>
      </c>
      <c r="E9" t="s">
        <v>10</v>
      </c>
      <c r="F9" t="s">
        <v>11</v>
      </c>
      <c r="G9" t="s">
        <v>15</v>
      </c>
      <c r="H9" s="5">
        <v>120</v>
      </c>
    </row>
    <row r="10" spans="1:8" x14ac:dyDescent="0.25">
      <c r="A10">
        <v>127094</v>
      </c>
      <c r="B10" s="2">
        <v>46028</v>
      </c>
      <c r="C10" t="s">
        <v>8</v>
      </c>
      <c r="D10">
        <v>290</v>
      </c>
      <c r="E10" t="s">
        <v>10</v>
      </c>
      <c r="F10" t="s">
        <v>11</v>
      </c>
      <c r="G10" t="s">
        <v>15</v>
      </c>
      <c r="H10" s="5">
        <v>160</v>
      </c>
    </row>
    <row r="11" spans="1:8" x14ac:dyDescent="0.25">
      <c r="A11">
        <v>127096</v>
      </c>
      <c r="B11" s="2">
        <v>46028</v>
      </c>
      <c r="C11" t="s">
        <v>8</v>
      </c>
      <c r="D11">
        <v>290</v>
      </c>
      <c r="E11" t="s">
        <v>10</v>
      </c>
      <c r="F11" t="s">
        <v>11</v>
      </c>
      <c r="G11" t="s">
        <v>15</v>
      </c>
      <c r="H11" s="5">
        <v>260</v>
      </c>
    </row>
    <row r="12" spans="1:8" x14ac:dyDescent="0.25">
      <c r="A12">
        <v>127097</v>
      </c>
      <c r="B12" s="2">
        <v>46028</v>
      </c>
      <c r="C12" t="s">
        <v>8</v>
      </c>
      <c r="D12">
        <v>290</v>
      </c>
      <c r="E12" t="s">
        <v>10</v>
      </c>
      <c r="F12" t="s">
        <v>11</v>
      </c>
      <c r="G12" t="s">
        <v>15</v>
      </c>
      <c r="H12" s="5">
        <v>340</v>
      </c>
    </row>
    <row r="13" spans="1:8" x14ac:dyDescent="0.25">
      <c r="A13">
        <v>127105</v>
      </c>
      <c r="B13" s="2">
        <v>46030</v>
      </c>
      <c r="C13" t="s">
        <v>8</v>
      </c>
      <c r="D13">
        <v>290</v>
      </c>
      <c r="E13" t="s">
        <v>10</v>
      </c>
      <c r="F13" t="s">
        <v>11</v>
      </c>
      <c r="G13" t="s">
        <v>15</v>
      </c>
      <c r="H13" s="5">
        <v>300</v>
      </c>
    </row>
    <row r="14" spans="1:8" x14ac:dyDescent="0.25">
      <c r="A14">
        <v>127107</v>
      </c>
      <c r="B14" s="2">
        <v>46030</v>
      </c>
      <c r="C14" t="s">
        <v>8</v>
      </c>
      <c r="D14">
        <v>300</v>
      </c>
      <c r="E14" t="s">
        <v>10</v>
      </c>
      <c r="F14" t="s">
        <v>11</v>
      </c>
      <c r="G14" t="s">
        <v>15</v>
      </c>
      <c r="H14" s="5">
        <v>320</v>
      </c>
    </row>
    <row r="15" spans="1:8" x14ac:dyDescent="0.25">
      <c r="A15">
        <v>127117</v>
      </c>
      <c r="B15" s="2">
        <v>46030</v>
      </c>
      <c r="C15" t="s">
        <v>8</v>
      </c>
      <c r="D15">
        <v>300</v>
      </c>
      <c r="E15" t="s">
        <v>10</v>
      </c>
      <c r="F15" t="s">
        <v>11</v>
      </c>
      <c r="G15" t="s">
        <v>15</v>
      </c>
      <c r="H15" s="5">
        <v>320</v>
      </c>
    </row>
    <row r="16" spans="1:8" x14ac:dyDescent="0.25">
      <c r="A16">
        <v>127119</v>
      </c>
      <c r="B16" s="2">
        <v>46030</v>
      </c>
      <c r="C16" t="s">
        <v>8</v>
      </c>
      <c r="D16">
        <v>300</v>
      </c>
      <c r="E16" t="s">
        <v>10</v>
      </c>
      <c r="F16" t="s">
        <v>11</v>
      </c>
      <c r="G16" t="s">
        <v>15</v>
      </c>
      <c r="H16" s="5">
        <v>220</v>
      </c>
    </row>
    <row r="17" spans="1:8" x14ac:dyDescent="0.25">
      <c r="A17">
        <v>127167</v>
      </c>
      <c r="B17" s="2">
        <v>46031</v>
      </c>
      <c r="C17" t="s">
        <v>8</v>
      </c>
      <c r="D17">
        <v>290</v>
      </c>
      <c r="E17" t="s">
        <v>10</v>
      </c>
      <c r="F17" t="s">
        <v>11</v>
      </c>
      <c r="G17" t="s">
        <v>15</v>
      </c>
      <c r="H17" s="5">
        <v>2240</v>
      </c>
    </row>
    <row r="18" spans="1:8" x14ac:dyDescent="0.25">
      <c r="A18">
        <v>127208</v>
      </c>
      <c r="B18" s="2">
        <v>46032</v>
      </c>
      <c r="C18" t="s">
        <v>8</v>
      </c>
      <c r="D18" t="s">
        <v>24</v>
      </c>
      <c r="E18" t="s">
        <v>10</v>
      </c>
      <c r="F18" t="s">
        <v>11</v>
      </c>
      <c r="G18" t="s">
        <v>15</v>
      </c>
      <c r="H18" s="5">
        <v>660</v>
      </c>
    </row>
    <row r="19" spans="1:8" x14ac:dyDescent="0.25">
      <c r="A19">
        <v>127274</v>
      </c>
      <c r="B19" s="2">
        <v>46035</v>
      </c>
      <c r="C19" t="s">
        <v>8</v>
      </c>
      <c r="D19" t="s">
        <v>24</v>
      </c>
      <c r="E19" t="s">
        <v>10</v>
      </c>
      <c r="F19" t="s">
        <v>11</v>
      </c>
      <c r="G19" t="s">
        <v>15</v>
      </c>
      <c r="H19" s="5">
        <v>220</v>
      </c>
    </row>
    <row r="20" spans="1:8" x14ac:dyDescent="0.25">
      <c r="A20">
        <v>127291</v>
      </c>
      <c r="B20" s="2">
        <v>46035</v>
      </c>
      <c r="C20" t="s">
        <v>8</v>
      </c>
      <c r="D20" t="s">
        <v>24</v>
      </c>
      <c r="E20" t="s">
        <v>10</v>
      </c>
      <c r="F20" t="s">
        <v>11</v>
      </c>
      <c r="G20" t="s">
        <v>15</v>
      </c>
      <c r="H20" s="5">
        <v>260</v>
      </c>
    </row>
    <row r="21" spans="1:8" x14ac:dyDescent="0.25">
      <c r="A21">
        <v>127298</v>
      </c>
      <c r="B21" s="2">
        <v>46035</v>
      </c>
      <c r="C21" t="s">
        <v>8</v>
      </c>
      <c r="D21" t="s">
        <v>30</v>
      </c>
      <c r="E21" t="s">
        <v>10</v>
      </c>
      <c r="F21" t="s">
        <v>11</v>
      </c>
      <c r="G21" t="s">
        <v>15</v>
      </c>
      <c r="H21" s="5">
        <v>2240</v>
      </c>
    </row>
    <row r="22" spans="1:8" x14ac:dyDescent="0.25">
      <c r="A22">
        <v>127339</v>
      </c>
      <c r="B22" s="2">
        <v>46036</v>
      </c>
      <c r="C22" t="s">
        <v>8</v>
      </c>
      <c r="D22" t="s">
        <v>30</v>
      </c>
      <c r="E22" t="s">
        <v>10</v>
      </c>
      <c r="F22" t="s">
        <v>11</v>
      </c>
      <c r="G22" t="s">
        <v>15</v>
      </c>
      <c r="H22" s="5">
        <v>2160</v>
      </c>
    </row>
    <row r="23" spans="1:8" x14ac:dyDescent="0.25">
      <c r="A23">
        <v>127394</v>
      </c>
      <c r="B23" s="2">
        <v>46037</v>
      </c>
      <c r="C23" t="s">
        <v>8</v>
      </c>
      <c r="D23" t="s">
        <v>30</v>
      </c>
      <c r="E23" t="s">
        <v>10</v>
      </c>
      <c r="F23" t="s">
        <v>11</v>
      </c>
      <c r="G23" t="s">
        <v>15</v>
      </c>
      <c r="H23" s="5">
        <v>3260</v>
      </c>
    </row>
    <row r="24" spans="1:8" x14ac:dyDescent="0.25">
      <c r="A24">
        <v>127459</v>
      </c>
      <c r="B24" s="2">
        <v>46038</v>
      </c>
      <c r="C24" t="s">
        <v>8</v>
      </c>
      <c r="D24" t="s">
        <v>30</v>
      </c>
      <c r="E24" t="s">
        <v>10</v>
      </c>
      <c r="F24" t="s">
        <v>11</v>
      </c>
      <c r="G24" t="s">
        <v>15</v>
      </c>
      <c r="H24" s="5">
        <v>1980</v>
      </c>
    </row>
    <row r="25" spans="1:8" x14ac:dyDescent="0.25">
      <c r="A25">
        <v>127506</v>
      </c>
      <c r="B25" s="2">
        <v>46039</v>
      </c>
      <c r="C25" t="s">
        <v>8</v>
      </c>
      <c r="D25" t="s">
        <v>30</v>
      </c>
      <c r="E25" t="s">
        <v>10</v>
      </c>
      <c r="F25" t="s">
        <v>11</v>
      </c>
      <c r="G25" t="s">
        <v>15</v>
      </c>
      <c r="H25" s="5">
        <v>380</v>
      </c>
    </row>
    <row r="26" spans="1:8" x14ac:dyDescent="0.25">
      <c r="A26">
        <v>127530</v>
      </c>
      <c r="B26" s="2">
        <v>46041</v>
      </c>
      <c r="C26" t="s">
        <v>8</v>
      </c>
      <c r="D26" t="s">
        <v>30</v>
      </c>
      <c r="E26" t="s">
        <v>10</v>
      </c>
      <c r="F26" t="s">
        <v>11</v>
      </c>
      <c r="G26" t="s">
        <v>15</v>
      </c>
      <c r="H26" s="5">
        <v>1900</v>
      </c>
    </row>
    <row r="27" spans="1:8" x14ac:dyDescent="0.25">
      <c r="A27">
        <v>127573</v>
      </c>
      <c r="B27" s="2">
        <v>46042</v>
      </c>
      <c r="C27" t="s">
        <v>8</v>
      </c>
      <c r="D27" t="s">
        <v>30</v>
      </c>
      <c r="E27" t="s">
        <v>10</v>
      </c>
      <c r="F27" t="s">
        <v>11</v>
      </c>
      <c r="G27" t="s">
        <v>15</v>
      </c>
      <c r="H27" s="5">
        <v>280</v>
      </c>
    </row>
    <row r="28" spans="1:8" x14ac:dyDescent="0.25">
      <c r="A28">
        <v>127631</v>
      </c>
      <c r="B28" s="2">
        <v>46043</v>
      </c>
      <c r="C28" t="s">
        <v>8</v>
      </c>
      <c r="D28" t="s">
        <v>30</v>
      </c>
      <c r="E28" t="s">
        <v>10</v>
      </c>
      <c r="F28" t="s">
        <v>11</v>
      </c>
      <c r="G28" t="s">
        <v>15</v>
      </c>
      <c r="H28" s="5">
        <v>1500</v>
      </c>
    </row>
    <row r="29" spans="1:8" x14ac:dyDescent="0.25">
      <c r="A29">
        <v>127652</v>
      </c>
      <c r="B29" s="2">
        <v>46043</v>
      </c>
      <c r="C29" t="s">
        <v>8</v>
      </c>
      <c r="D29">
        <v>290</v>
      </c>
      <c r="E29" t="s">
        <v>10</v>
      </c>
      <c r="F29" t="s">
        <v>11</v>
      </c>
      <c r="G29" t="s">
        <v>15</v>
      </c>
      <c r="H29" s="5">
        <v>2000</v>
      </c>
    </row>
    <row r="30" spans="1:8" x14ac:dyDescent="0.25">
      <c r="A30">
        <v>127751</v>
      </c>
      <c r="B30" s="2">
        <v>46045</v>
      </c>
      <c r="C30" t="s">
        <v>8</v>
      </c>
      <c r="D30">
        <v>290</v>
      </c>
      <c r="E30" t="s">
        <v>10</v>
      </c>
      <c r="F30" t="s">
        <v>11</v>
      </c>
      <c r="G30" t="s">
        <v>15</v>
      </c>
      <c r="H30" s="5">
        <v>1320</v>
      </c>
    </row>
    <row r="31" spans="1:8" x14ac:dyDescent="0.25">
      <c r="A31">
        <v>127869</v>
      </c>
      <c r="B31" s="2">
        <v>46049</v>
      </c>
      <c r="C31" t="s">
        <v>8</v>
      </c>
      <c r="D31" t="s">
        <v>30</v>
      </c>
      <c r="E31" t="s">
        <v>10</v>
      </c>
      <c r="F31" t="s">
        <v>11</v>
      </c>
      <c r="G31" t="s">
        <v>15</v>
      </c>
      <c r="H31" s="5">
        <v>140</v>
      </c>
    </row>
    <row r="32" spans="1:8" x14ac:dyDescent="0.25">
      <c r="A32">
        <v>127870</v>
      </c>
      <c r="B32" s="2">
        <v>46049</v>
      </c>
      <c r="C32" t="s">
        <v>8</v>
      </c>
      <c r="D32" t="s">
        <v>30</v>
      </c>
      <c r="E32" t="s">
        <v>10</v>
      </c>
      <c r="F32" t="s">
        <v>11</v>
      </c>
      <c r="G32" t="s">
        <v>15</v>
      </c>
      <c r="H32" s="5">
        <v>40</v>
      </c>
    </row>
    <row r="33" spans="1:8" x14ac:dyDescent="0.25">
      <c r="A33">
        <v>128027</v>
      </c>
      <c r="B33" s="2">
        <v>46052</v>
      </c>
      <c r="C33" t="s">
        <v>8</v>
      </c>
      <c r="D33" t="s">
        <v>30</v>
      </c>
      <c r="E33" t="s">
        <v>10</v>
      </c>
      <c r="F33" t="s">
        <v>11</v>
      </c>
      <c r="G33" t="s">
        <v>15</v>
      </c>
      <c r="H33" s="5">
        <v>20</v>
      </c>
    </row>
    <row r="34" spans="1:8" x14ac:dyDescent="0.25">
      <c r="H34" s="8">
        <f>SUM(H2:H33)</f>
        <v>24240</v>
      </c>
    </row>
  </sheetData>
  <sortState xmlns:xlrd2="http://schemas.microsoft.com/office/spreadsheetml/2017/richdata2" ref="A2:H33">
    <sortCondition ref="A2: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EA19-E072-4442-B671-93E418900A53}">
  <dimension ref="A1:K35"/>
  <sheetViews>
    <sheetView workbookViewId="0">
      <selection activeCell="D19" sqref="D19"/>
    </sheetView>
  </sheetViews>
  <sheetFormatPr baseColWidth="10" defaultRowHeight="15.75" x14ac:dyDescent="0.25"/>
  <cols>
    <col min="4" max="4" width="42.75" customWidth="1"/>
  </cols>
  <sheetData>
    <row r="1" spans="1:11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1" x14ac:dyDescent="0.25">
      <c r="A2">
        <v>127055</v>
      </c>
      <c r="B2" s="2">
        <v>46025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5">
        <v>2320</v>
      </c>
    </row>
    <row r="3" spans="1:11" x14ac:dyDescent="0.25">
      <c r="A3">
        <v>127227</v>
      </c>
      <c r="B3" s="2">
        <v>46034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s="5">
        <v>3620</v>
      </c>
    </row>
    <row r="4" spans="1:11" x14ac:dyDescent="0.25">
      <c r="A4">
        <v>127441</v>
      </c>
      <c r="B4" s="2">
        <v>46038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s="5">
        <v>4020</v>
      </c>
    </row>
    <row r="5" spans="1:11" x14ac:dyDescent="0.25">
      <c r="A5">
        <v>127676</v>
      </c>
      <c r="B5" s="2">
        <v>46044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s="5">
        <v>3880</v>
      </c>
    </row>
    <row r="6" spans="1:11" x14ac:dyDescent="0.25">
      <c r="B6" s="2"/>
      <c r="H6" s="8">
        <f>SUM(H2:H5)</f>
        <v>13840</v>
      </c>
    </row>
    <row r="7" spans="1:11" x14ac:dyDescent="0.25">
      <c r="A7">
        <v>127081</v>
      </c>
      <c r="B7" s="2">
        <v>46027</v>
      </c>
      <c r="C7" t="s">
        <v>8</v>
      </c>
      <c r="D7" s="11" t="s">
        <v>9</v>
      </c>
      <c r="E7" t="s">
        <v>10</v>
      </c>
      <c r="F7" t="s">
        <v>11</v>
      </c>
      <c r="G7" t="s">
        <v>12</v>
      </c>
      <c r="H7" s="5">
        <v>3080</v>
      </c>
      <c r="I7" s="6" t="s">
        <v>39</v>
      </c>
    </row>
    <row r="8" spans="1:11" x14ac:dyDescent="0.25">
      <c r="A8">
        <v>127272</v>
      </c>
      <c r="B8" s="2">
        <v>46035</v>
      </c>
      <c r="C8" t="s">
        <v>8</v>
      </c>
      <c r="D8" t="s">
        <v>13</v>
      </c>
      <c r="E8" t="s">
        <v>10</v>
      </c>
      <c r="F8" t="s">
        <v>11</v>
      </c>
      <c r="G8" t="s">
        <v>12</v>
      </c>
      <c r="H8" s="5">
        <v>2680</v>
      </c>
    </row>
    <row r="9" spans="1:11" x14ac:dyDescent="0.25">
      <c r="A9">
        <v>127516</v>
      </c>
      <c r="B9" s="2">
        <v>46039</v>
      </c>
      <c r="C9" t="s">
        <v>8</v>
      </c>
      <c r="D9" t="s">
        <v>13</v>
      </c>
      <c r="E9" t="s">
        <v>10</v>
      </c>
      <c r="F9" t="s">
        <v>11</v>
      </c>
      <c r="G9" t="s">
        <v>12</v>
      </c>
      <c r="H9" s="5">
        <v>2840</v>
      </c>
    </row>
    <row r="10" spans="1:11" x14ac:dyDescent="0.25">
      <c r="A10">
        <v>127615</v>
      </c>
      <c r="B10" s="2">
        <v>46043</v>
      </c>
      <c r="C10" t="s">
        <v>8</v>
      </c>
      <c r="D10" t="s">
        <v>13</v>
      </c>
      <c r="E10" t="s">
        <v>10</v>
      </c>
      <c r="F10" t="s">
        <v>11</v>
      </c>
      <c r="G10" t="s">
        <v>12</v>
      </c>
      <c r="H10" s="5">
        <v>3700</v>
      </c>
    </row>
    <row r="11" spans="1:11" x14ac:dyDescent="0.25">
      <c r="A11">
        <v>127736</v>
      </c>
      <c r="B11" s="2">
        <v>46045</v>
      </c>
      <c r="C11" t="s">
        <v>8</v>
      </c>
      <c r="D11" t="s">
        <v>13</v>
      </c>
      <c r="E11" t="s">
        <v>10</v>
      </c>
      <c r="F11" t="s">
        <v>11</v>
      </c>
      <c r="G11" t="s">
        <v>12</v>
      </c>
      <c r="H11" s="5">
        <v>2460</v>
      </c>
    </row>
    <row r="12" spans="1:11" x14ac:dyDescent="0.25">
      <c r="A12">
        <v>127818</v>
      </c>
      <c r="B12" s="2">
        <v>46048</v>
      </c>
      <c r="C12" t="s">
        <v>8</v>
      </c>
      <c r="D12" t="s">
        <v>13</v>
      </c>
      <c r="E12" t="s">
        <v>10</v>
      </c>
      <c r="F12" t="s">
        <v>11</v>
      </c>
      <c r="G12" t="s">
        <v>12</v>
      </c>
      <c r="H12" s="5">
        <v>2560</v>
      </c>
    </row>
    <row r="13" spans="1:11" x14ac:dyDescent="0.25">
      <c r="A13">
        <v>127871</v>
      </c>
      <c r="B13" s="2">
        <v>46049</v>
      </c>
      <c r="C13" t="s">
        <v>8</v>
      </c>
      <c r="D13" t="s">
        <v>13</v>
      </c>
      <c r="E13" t="s">
        <v>10</v>
      </c>
      <c r="F13" t="s">
        <v>11</v>
      </c>
      <c r="G13" t="s">
        <v>12</v>
      </c>
      <c r="H13" s="5">
        <v>2740</v>
      </c>
    </row>
    <row r="14" spans="1:11" x14ac:dyDescent="0.25">
      <c r="A14">
        <v>128047</v>
      </c>
      <c r="B14" s="2">
        <v>46052</v>
      </c>
      <c r="C14" t="s">
        <v>8</v>
      </c>
      <c r="D14" t="s">
        <v>13</v>
      </c>
      <c r="E14" t="s">
        <v>10</v>
      </c>
      <c r="F14" t="s">
        <v>11</v>
      </c>
      <c r="G14" t="s">
        <v>12</v>
      </c>
      <c r="H14" s="5">
        <v>3100</v>
      </c>
    </row>
    <row r="15" spans="1:11" x14ac:dyDescent="0.25">
      <c r="B15" s="2"/>
      <c r="H15" s="8">
        <f>SUM(H7:H14)</f>
        <v>23160</v>
      </c>
    </row>
    <row r="16" spans="1:11" x14ac:dyDescent="0.25">
      <c r="A16">
        <v>127059</v>
      </c>
      <c r="B16" s="2">
        <v>46026</v>
      </c>
      <c r="C16" t="s">
        <v>8</v>
      </c>
      <c r="D16" s="11" t="s">
        <v>25</v>
      </c>
      <c r="E16" t="s">
        <v>10</v>
      </c>
      <c r="F16" t="s">
        <v>11</v>
      </c>
      <c r="G16" t="s">
        <v>12</v>
      </c>
      <c r="H16" s="5">
        <v>3780</v>
      </c>
      <c r="I16" s="6" t="s">
        <v>38</v>
      </c>
      <c r="J16" s="6"/>
      <c r="K16" s="6"/>
    </row>
    <row r="17" spans="1:9" x14ac:dyDescent="0.25">
      <c r="A17">
        <v>127515</v>
      </c>
      <c r="B17" s="2">
        <v>46039</v>
      </c>
      <c r="C17" t="s">
        <v>8</v>
      </c>
      <c r="D17" s="11" t="s">
        <v>13</v>
      </c>
      <c r="E17" t="s">
        <v>10</v>
      </c>
      <c r="F17" t="s">
        <v>11</v>
      </c>
      <c r="G17" t="s">
        <v>12</v>
      </c>
      <c r="H17" s="5">
        <v>2460</v>
      </c>
      <c r="I17" s="6" t="s">
        <v>38</v>
      </c>
    </row>
    <row r="18" spans="1:9" x14ac:dyDescent="0.25">
      <c r="A18">
        <v>128078</v>
      </c>
      <c r="B18" s="2">
        <v>46053</v>
      </c>
      <c r="C18" t="s">
        <v>8</v>
      </c>
      <c r="D18" s="11" t="s">
        <v>29</v>
      </c>
      <c r="E18" t="s">
        <v>10</v>
      </c>
      <c r="F18" t="s">
        <v>11</v>
      </c>
      <c r="G18" t="s">
        <v>12</v>
      </c>
      <c r="H18" s="5">
        <v>3180</v>
      </c>
      <c r="I18" s="6" t="s">
        <v>38</v>
      </c>
    </row>
    <row r="19" spans="1:9" x14ac:dyDescent="0.25">
      <c r="A19">
        <v>128079</v>
      </c>
      <c r="B19" s="2">
        <v>46053</v>
      </c>
      <c r="C19" t="s">
        <v>8</v>
      </c>
      <c r="D19" s="11" t="s">
        <v>9</v>
      </c>
      <c r="E19" t="s">
        <v>10</v>
      </c>
      <c r="F19" t="s">
        <v>11</v>
      </c>
      <c r="G19" t="s">
        <v>12</v>
      </c>
      <c r="H19" s="5">
        <v>1980</v>
      </c>
      <c r="I19" s="6" t="s">
        <v>38</v>
      </c>
    </row>
    <row r="20" spans="1:9" x14ac:dyDescent="0.25">
      <c r="B20" s="2"/>
      <c r="H20" s="8">
        <f>SUM(H16:H19)</f>
        <v>11400</v>
      </c>
    </row>
    <row r="21" spans="1:9" x14ac:dyDescent="0.25">
      <c r="A21">
        <v>127273</v>
      </c>
      <c r="B21" s="2">
        <v>46035</v>
      </c>
      <c r="C21" t="s">
        <v>8</v>
      </c>
      <c r="D21" t="s">
        <v>25</v>
      </c>
      <c r="E21" t="s">
        <v>10</v>
      </c>
      <c r="F21" t="s">
        <v>11</v>
      </c>
      <c r="G21" t="s">
        <v>12</v>
      </c>
      <c r="H21" s="5">
        <v>3640</v>
      </c>
    </row>
    <row r="22" spans="1:9" x14ac:dyDescent="0.25">
      <c r="A22">
        <v>127616</v>
      </c>
      <c r="B22" s="2">
        <v>46043</v>
      </c>
      <c r="C22" t="s">
        <v>8</v>
      </c>
      <c r="D22" t="s">
        <v>25</v>
      </c>
      <c r="E22" t="s">
        <v>10</v>
      </c>
      <c r="F22" t="s">
        <v>11</v>
      </c>
      <c r="G22" t="s">
        <v>12</v>
      </c>
      <c r="H22" s="5">
        <v>4220</v>
      </c>
    </row>
    <row r="23" spans="1:9" x14ac:dyDescent="0.25">
      <c r="A23">
        <v>127794</v>
      </c>
      <c r="B23" s="2">
        <v>46047</v>
      </c>
      <c r="C23" t="s">
        <v>8</v>
      </c>
      <c r="D23" t="s">
        <v>25</v>
      </c>
      <c r="E23" t="s">
        <v>10</v>
      </c>
      <c r="F23" t="s">
        <v>11</v>
      </c>
      <c r="G23" t="s">
        <v>12</v>
      </c>
      <c r="H23" s="5">
        <v>2620</v>
      </c>
    </row>
    <row r="24" spans="1:9" x14ac:dyDescent="0.25">
      <c r="A24">
        <v>127922</v>
      </c>
      <c r="B24" s="2">
        <v>46050</v>
      </c>
      <c r="C24" t="s">
        <v>8</v>
      </c>
      <c r="D24" t="s">
        <v>25</v>
      </c>
      <c r="E24" t="s">
        <v>10</v>
      </c>
      <c r="F24" t="s">
        <v>11</v>
      </c>
      <c r="G24" t="s">
        <v>12</v>
      </c>
      <c r="H24" s="5">
        <v>2360</v>
      </c>
    </row>
    <row r="25" spans="1:9" x14ac:dyDescent="0.25">
      <c r="B25" s="2"/>
      <c r="H25" s="8">
        <f>SUM(H21:H24)</f>
        <v>12840</v>
      </c>
    </row>
    <row r="26" spans="1:9" x14ac:dyDescent="0.25">
      <c r="A26">
        <v>127380</v>
      </c>
      <c r="B26" s="2">
        <v>46037</v>
      </c>
      <c r="C26" t="s">
        <v>8</v>
      </c>
      <c r="D26" t="s">
        <v>14</v>
      </c>
      <c r="E26" t="s">
        <v>10</v>
      </c>
      <c r="F26" t="s">
        <v>11</v>
      </c>
      <c r="G26" t="s">
        <v>12</v>
      </c>
      <c r="H26" s="5">
        <v>4380</v>
      </c>
    </row>
    <row r="27" spans="1:9" x14ac:dyDescent="0.25">
      <c r="A27">
        <v>127542</v>
      </c>
      <c r="B27" s="2">
        <v>46041</v>
      </c>
      <c r="C27" t="s">
        <v>8</v>
      </c>
      <c r="D27" t="s">
        <v>28</v>
      </c>
      <c r="E27" t="s">
        <v>10</v>
      </c>
      <c r="F27" t="s">
        <v>11</v>
      </c>
      <c r="G27" t="s">
        <v>12</v>
      </c>
      <c r="H27" s="5">
        <v>2260</v>
      </c>
    </row>
    <row r="28" spans="1:9" x14ac:dyDescent="0.25">
      <c r="A28">
        <v>127925</v>
      </c>
      <c r="B28" s="2">
        <v>46050</v>
      </c>
      <c r="C28" t="s">
        <v>8</v>
      </c>
      <c r="D28" t="s">
        <v>14</v>
      </c>
      <c r="E28" t="s">
        <v>10</v>
      </c>
      <c r="F28" t="s">
        <v>11</v>
      </c>
      <c r="G28" t="s">
        <v>12</v>
      </c>
      <c r="H28" s="5">
        <v>3140</v>
      </c>
    </row>
    <row r="29" spans="1:9" x14ac:dyDescent="0.25">
      <c r="A29">
        <v>127993</v>
      </c>
      <c r="B29" s="2">
        <v>46051</v>
      </c>
      <c r="C29" t="s">
        <v>8</v>
      </c>
      <c r="D29" t="s">
        <v>14</v>
      </c>
      <c r="E29" t="s">
        <v>10</v>
      </c>
      <c r="F29" t="s">
        <v>11</v>
      </c>
      <c r="G29" t="s">
        <v>12</v>
      </c>
      <c r="H29" s="5">
        <v>2000</v>
      </c>
    </row>
    <row r="30" spans="1:9" x14ac:dyDescent="0.25">
      <c r="H30" s="8">
        <f>SUM(H26:H29)</f>
        <v>11780</v>
      </c>
    </row>
    <row r="31" spans="1:9" x14ac:dyDescent="0.25">
      <c r="A31">
        <v>127398</v>
      </c>
      <c r="B31" s="2">
        <v>46037</v>
      </c>
      <c r="C31" t="s">
        <v>8</v>
      </c>
      <c r="D31" s="11" t="s">
        <v>9</v>
      </c>
      <c r="E31" t="s">
        <v>10</v>
      </c>
      <c r="F31" t="s">
        <v>11</v>
      </c>
      <c r="G31" t="s">
        <v>12</v>
      </c>
      <c r="H31" s="5">
        <v>3520</v>
      </c>
      <c r="I31" s="6" t="s">
        <v>40</v>
      </c>
    </row>
    <row r="32" spans="1:9" x14ac:dyDescent="0.25">
      <c r="A32">
        <v>127673</v>
      </c>
      <c r="B32" s="2">
        <v>46044</v>
      </c>
      <c r="C32" t="s">
        <v>8</v>
      </c>
      <c r="D32" s="11" t="s">
        <v>9</v>
      </c>
      <c r="E32" t="s">
        <v>10</v>
      </c>
      <c r="F32" t="s">
        <v>11</v>
      </c>
      <c r="G32" t="s">
        <v>12</v>
      </c>
      <c r="H32" s="5">
        <v>3620</v>
      </c>
      <c r="I32" s="6" t="s">
        <v>40</v>
      </c>
    </row>
    <row r="33" spans="1:9" x14ac:dyDescent="0.25">
      <c r="A33">
        <v>127752</v>
      </c>
      <c r="B33" s="2">
        <v>46045</v>
      </c>
      <c r="C33" t="s">
        <v>8</v>
      </c>
      <c r="D33" s="11" t="s">
        <v>9</v>
      </c>
      <c r="E33" t="s">
        <v>10</v>
      </c>
      <c r="F33" t="s">
        <v>11</v>
      </c>
      <c r="G33" t="s">
        <v>12</v>
      </c>
      <c r="H33" s="5">
        <v>2580</v>
      </c>
      <c r="I33" s="6" t="s">
        <v>40</v>
      </c>
    </row>
    <row r="34" spans="1:9" x14ac:dyDescent="0.25">
      <c r="A34">
        <v>127979</v>
      </c>
      <c r="B34" s="2">
        <v>46051</v>
      </c>
      <c r="C34" t="s">
        <v>8</v>
      </c>
      <c r="D34" s="11" t="s">
        <v>9</v>
      </c>
      <c r="E34" t="s">
        <v>10</v>
      </c>
      <c r="F34" t="s">
        <v>11</v>
      </c>
      <c r="G34" t="s">
        <v>12</v>
      </c>
      <c r="H34" s="5">
        <v>2520</v>
      </c>
      <c r="I34" s="6" t="s">
        <v>40</v>
      </c>
    </row>
    <row r="35" spans="1:9" x14ac:dyDescent="0.25">
      <c r="H35" s="8">
        <f>SUM(H31:H34)</f>
        <v>12240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3049-540F-4718-91F8-EEBE83DD6505}">
  <dimension ref="A1:I19"/>
  <sheetViews>
    <sheetView workbookViewId="0">
      <selection activeCell="A12" sqref="A12"/>
    </sheetView>
  </sheetViews>
  <sheetFormatPr baseColWidth="10" defaultRowHeight="15.75" x14ac:dyDescent="0.25"/>
  <cols>
    <col min="4" max="4" width="27.875" customWidth="1"/>
  </cols>
  <sheetData>
    <row r="1" spans="1:9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9" x14ac:dyDescent="0.25">
      <c r="A2">
        <v>127072</v>
      </c>
      <c r="B2" s="2">
        <v>46027</v>
      </c>
      <c r="C2" t="s">
        <v>17</v>
      </c>
      <c r="D2" s="11" t="s">
        <v>19</v>
      </c>
      <c r="E2" t="s">
        <v>10</v>
      </c>
      <c r="F2" t="s">
        <v>11</v>
      </c>
      <c r="G2" t="s">
        <v>12</v>
      </c>
      <c r="H2" s="5">
        <v>3640</v>
      </c>
      <c r="I2" s="6" t="s">
        <v>39</v>
      </c>
    </row>
    <row r="3" spans="1:9" x14ac:dyDescent="0.25">
      <c r="A3">
        <v>127215</v>
      </c>
      <c r="B3" s="2">
        <v>46032</v>
      </c>
      <c r="C3" t="s">
        <v>17</v>
      </c>
      <c r="D3" t="s">
        <v>33</v>
      </c>
      <c r="E3" t="s">
        <v>10</v>
      </c>
      <c r="F3" t="s">
        <v>11</v>
      </c>
      <c r="G3" t="s">
        <v>12</v>
      </c>
      <c r="H3" s="5">
        <v>3600</v>
      </c>
    </row>
    <row r="4" spans="1:9" x14ac:dyDescent="0.25">
      <c r="A4">
        <v>127509</v>
      </c>
      <c r="B4" s="2">
        <v>46039</v>
      </c>
      <c r="C4" t="s">
        <v>17</v>
      </c>
      <c r="D4" t="s">
        <v>33</v>
      </c>
      <c r="E4" t="s">
        <v>10</v>
      </c>
      <c r="F4" t="s">
        <v>11</v>
      </c>
      <c r="G4" t="s">
        <v>12</v>
      </c>
      <c r="H4" s="5">
        <v>4960</v>
      </c>
    </row>
    <row r="5" spans="1:9" x14ac:dyDescent="0.25">
      <c r="A5">
        <v>127534</v>
      </c>
      <c r="B5" s="2">
        <v>46041</v>
      </c>
      <c r="C5" t="s">
        <v>17</v>
      </c>
      <c r="D5" t="s">
        <v>33</v>
      </c>
      <c r="E5" t="s">
        <v>10</v>
      </c>
      <c r="F5" t="s">
        <v>11</v>
      </c>
      <c r="G5" t="s">
        <v>12</v>
      </c>
      <c r="H5" s="5">
        <v>3820</v>
      </c>
    </row>
    <row r="6" spans="1:9" x14ac:dyDescent="0.25">
      <c r="A6">
        <v>127790</v>
      </c>
      <c r="B6" s="2">
        <v>46046</v>
      </c>
      <c r="C6" t="s">
        <v>17</v>
      </c>
      <c r="D6" t="s">
        <v>33</v>
      </c>
      <c r="E6" t="s">
        <v>10</v>
      </c>
      <c r="F6" t="s">
        <v>11</v>
      </c>
      <c r="G6" t="s">
        <v>12</v>
      </c>
      <c r="H6" s="5">
        <v>3620</v>
      </c>
    </row>
    <row r="7" spans="1:9" x14ac:dyDescent="0.25">
      <c r="A7">
        <v>127873</v>
      </c>
      <c r="B7" s="2">
        <v>46049</v>
      </c>
      <c r="C7" t="s">
        <v>17</v>
      </c>
      <c r="D7" t="s">
        <v>33</v>
      </c>
      <c r="E7" t="s">
        <v>10</v>
      </c>
      <c r="F7" t="s">
        <v>11</v>
      </c>
      <c r="G7" t="s">
        <v>12</v>
      </c>
      <c r="H7" s="5">
        <v>4560</v>
      </c>
    </row>
    <row r="8" spans="1:9" x14ac:dyDescent="0.25">
      <c r="B8" s="2"/>
      <c r="H8" s="8">
        <f>SUM(H2:H7)</f>
        <v>24200</v>
      </c>
    </row>
    <row r="9" spans="1:9" x14ac:dyDescent="0.25">
      <c r="A9">
        <v>127070</v>
      </c>
      <c r="B9" s="2">
        <v>46027</v>
      </c>
      <c r="C9" t="s">
        <v>17</v>
      </c>
      <c r="D9" s="11" t="s">
        <v>19</v>
      </c>
      <c r="E9" t="s">
        <v>10</v>
      </c>
      <c r="F9" t="s">
        <v>11</v>
      </c>
      <c r="G9" t="s">
        <v>12</v>
      </c>
      <c r="H9" s="5">
        <v>5340</v>
      </c>
      <c r="I9" s="6" t="s">
        <v>39</v>
      </c>
    </row>
    <row r="10" spans="1:9" x14ac:dyDescent="0.25">
      <c r="A10">
        <v>127403</v>
      </c>
      <c r="B10" s="2">
        <v>46037</v>
      </c>
      <c r="C10" t="s">
        <v>17</v>
      </c>
      <c r="D10" s="11" t="s">
        <v>19</v>
      </c>
      <c r="E10" t="s">
        <v>10</v>
      </c>
      <c r="F10" t="s">
        <v>11</v>
      </c>
      <c r="G10" t="s">
        <v>12</v>
      </c>
      <c r="H10" s="5">
        <v>5540</v>
      </c>
      <c r="I10" s="6" t="s">
        <v>39</v>
      </c>
    </row>
    <row r="11" spans="1:9" x14ac:dyDescent="0.25">
      <c r="A11">
        <v>127587</v>
      </c>
      <c r="B11" s="2">
        <v>46042</v>
      </c>
      <c r="C11" t="s">
        <v>17</v>
      </c>
      <c r="D11" t="s">
        <v>18</v>
      </c>
      <c r="E11" t="s">
        <v>10</v>
      </c>
      <c r="F11" t="s">
        <v>11</v>
      </c>
      <c r="G11" t="s">
        <v>12</v>
      </c>
      <c r="H11" s="5">
        <v>4260</v>
      </c>
    </row>
    <row r="12" spans="1:9" x14ac:dyDescent="0.25">
      <c r="A12">
        <v>127750</v>
      </c>
      <c r="B12" s="2">
        <v>46045</v>
      </c>
      <c r="C12" t="s">
        <v>17</v>
      </c>
      <c r="D12" t="s">
        <v>18</v>
      </c>
      <c r="E12" t="s">
        <v>10</v>
      </c>
      <c r="F12" t="s">
        <v>11</v>
      </c>
      <c r="G12" t="s">
        <v>12</v>
      </c>
      <c r="H12" s="5">
        <v>5140</v>
      </c>
    </row>
    <row r="13" spans="1:9" x14ac:dyDescent="0.25">
      <c r="A13">
        <v>127816</v>
      </c>
      <c r="B13" s="2">
        <v>46048</v>
      </c>
      <c r="C13" t="s">
        <v>17</v>
      </c>
      <c r="D13" s="11" t="s">
        <v>19</v>
      </c>
      <c r="E13" t="s">
        <v>10</v>
      </c>
      <c r="F13" t="s">
        <v>11</v>
      </c>
      <c r="G13" t="s">
        <v>12</v>
      </c>
      <c r="H13" s="5">
        <v>4240</v>
      </c>
      <c r="I13" s="6" t="s">
        <v>39</v>
      </c>
    </row>
    <row r="14" spans="1:9" x14ac:dyDescent="0.25">
      <c r="B14" s="2"/>
      <c r="H14" s="8">
        <f>SUM(H9:H13)</f>
        <v>24520</v>
      </c>
    </row>
    <row r="15" spans="1:9" x14ac:dyDescent="0.25">
      <c r="A15">
        <v>127053</v>
      </c>
      <c r="B15" s="2">
        <v>46025</v>
      </c>
      <c r="C15" t="s">
        <v>17</v>
      </c>
      <c r="D15" t="s">
        <v>19</v>
      </c>
      <c r="E15" t="s">
        <v>10</v>
      </c>
      <c r="F15" t="s">
        <v>11</v>
      </c>
      <c r="G15" t="s">
        <v>12</v>
      </c>
      <c r="H15" s="5">
        <v>2960</v>
      </c>
    </row>
    <row r="16" spans="1:9" x14ac:dyDescent="0.25">
      <c r="A16">
        <v>127299</v>
      </c>
      <c r="B16" s="2">
        <v>46035</v>
      </c>
      <c r="C16" t="s">
        <v>17</v>
      </c>
      <c r="D16" t="s">
        <v>19</v>
      </c>
      <c r="E16" t="s">
        <v>10</v>
      </c>
      <c r="F16" t="s">
        <v>11</v>
      </c>
      <c r="G16" t="s">
        <v>12</v>
      </c>
      <c r="H16" s="5">
        <v>3400</v>
      </c>
    </row>
    <row r="17" spans="1:8" x14ac:dyDescent="0.25">
      <c r="A17">
        <v>127550</v>
      </c>
      <c r="B17" s="2">
        <v>46041</v>
      </c>
      <c r="C17" t="s">
        <v>17</v>
      </c>
      <c r="D17" t="s">
        <v>19</v>
      </c>
      <c r="E17" t="s">
        <v>10</v>
      </c>
      <c r="F17" t="s">
        <v>11</v>
      </c>
      <c r="G17" t="s">
        <v>12</v>
      </c>
      <c r="H17" s="5">
        <v>3820</v>
      </c>
    </row>
    <row r="18" spans="1:8" x14ac:dyDescent="0.25">
      <c r="A18">
        <v>127793</v>
      </c>
      <c r="B18" s="2">
        <v>46046</v>
      </c>
      <c r="C18" t="s">
        <v>17</v>
      </c>
      <c r="D18" t="s">
        <v>19</v>
      </c>
      <c r="E18" t="s">
        <v>10</v>
      </c>
      <c r="F18" t="s">
        <v>11</v>
      </c>
      <c r="G18" t="s">
        <v>12</v>
      </c>
      <c r="H18" s="5">
        <v>2240</v>
      </c>
    </row>
    <row r="19" spans="1:8" x14ac:dyDescent="0.25">
      <c r="H19" s="8">
        <f>SUM(H15:H18)</f>
        <v>12420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CLIENTS PRIVES</vt:lpstr>
      <vt:lpstr>CU GPSEO</vt:lpstr>
      <vt:lpstr>CU DECHETTERIE</vt:lpstr>
      <vt:lpstr>SMIRTOM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 PIXELAB</dc:creator>
  <cp:lastModifiedBy>amine saadeddine</cp:lastModifiedBy>
  <dcterms:created xsi:type="dcterms:W3CDTF">2024-04-04T08:55:30Z</dcterms:created>
  <dcterms:modified xsi:type="dcterms:W3CDTF">2026-02-06T16:26:03Z</dcterms:modified>
</cp:coreProperties>
</file>