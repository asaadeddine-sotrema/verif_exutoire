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4u-my.sharepoint.com/personal/yvonne_olive_suez_com/Documents/Bureau/"/>
    </mc:Choice>
  </mc:AlternateContent>
  <xr:revisionPtr revIDLastSave="0" documentId="14_{65EE6437-FC46-48B9-8612-1D10AE71BE69}" xr6:coauthVersionLast="47" xr6:coauthVersionMax="47" xr10:uidLastSave="{00000000-0000-0000-0000-000000000000}"/>
  <bookViews>
    <workbookView xWindow="-120" yWindow="-120" windowWidth="38640" windowHeight="21120" xr2:uid="{C830E666-D8E3-42AC-99A5-6E96ED33C040}"/>
  </bookViews>
  <sheets>
    <sheet name="yolive-K047-export_bp-01012026-" sheetId="1" r:id="rId1"/>
  </sheets>
  <definedNames>
    <definedName name="_xlnm._FilterDatabase" localSheetId="0" hidden="1">'yolive-K047-export_bp-01012026-'!$A$1:$Y$292</definedName>
  </definedNames>
  <calcPr calcId="0"/>
</workbook>
</file>

<file path=xl/calcChain.xml><?xml version="1.0" encoding="utf-8"?>
<calcChain xmlns="http://schemas.openxmlformats.org/spreadsheetml/2006/main">
  <c r="M188" i="1" l="1"/>
  <c r="M183" i="1"/>
  <c r="M178" i="1"/>
  <c r="M290" i="1"/>
  <c r="M283" i="1"/>
  <c r="M279" i="1"/>
  <c r="M276" i="1"/>
  <c r="M274" i="1"/>
  <c r="M271" i="1"/>
  <c r="M268" i="1"/>
  <c r="M258" i="1"/>
  <c r="M256" i="1"/>
  <c r="M233" i="1"/>
  <c r="M229" i="1"/>
  <c r="M211" i="1"/>
  <c r="M293" i="1"/>
  <c r="M149" i="1"/>
  <c r="M141" i="1"/>
  <c r="M122" i="1"/>
  <c r="M114" i="1"/>
  <c r="M110" i="1"/>
  <c r="M99" i="1"/>
  <c r="M97" i="1"/>
  <c r="M95" i="1"/>
  <c r="M108" i="1"/>
  <c r="M90" i="1"/>
  <c r="M87" i="1"/>
  <c r="M84" i="1"/>
  <c r="M77" i="1"/>
  <c r="M75" i="1"/>
  <c r="M63" i="1"/>
  <c r="M60" i="1"/>
  <c r="M57" i="1"/>
  <c r="M46" i="1"/>
  <c r="M43" i="1"/>
</calcChain>
</file>

<file path=xl/sharedStrings.xml><?xml version="1.0" encoding="utf-8"?>
<sst xmlns="http://schemas.openxmlformats.org/spreadsheetml/2006/main" count="2935" uniqueCount="933">
  <si>
    <t>N° bon de pesée</t>
  </si>
  <si>
    <t>N° bon pesée tare</t>
  </si>
  <si>
    <t>Date du bon</t>
  </si>
  <si>
    <t>Immatriculation</t>
  </si>
  <si>
    <t>Nom recherche client</t>
  </si>
  <si>
    <t>Nom recherche Transporteur</t>
  </si>
  <si>
    <t>Nom du Transporteur</t>
  </si>
  <si>
    <t>Dossier page 2</t>
  </si>
  <si>
    <t>N° adresse de service</t>
  </si>
  <si>
    <t>Nom de l'adresse de service</t>
  </si>
  <si>
    <t>Code déchet</t>
  </si>
  <si>
    <t>Description déchet</t>
  </si>
  <si>
    <t>Quantité nette</t>
  </si>
  <si>
    <t>Quantité brute</t>
  </si>
  <si>
    <t>Tare</t>
  </si>
  <si>
    <t>Pourcentage contamination</t>
  </si>
  <si>
    <t>Code déchet contaminant</t>
  </si>
  <si>
    <t>Description déchet contaminant</t>
  </si>
  <si>
    <t>Humidité</t>
  </si>
  <si>
    <t>K047</t>
  </si>
  <si>
    <t>PRC591272</t>
  </si>
  <si>
    <t>PRC591273</t>
  </si>
  <si>
    <t>FS710DA</t>
  </si>
  <si>
    <t>K043-CLT</t>
  </si>
  <si>
    <t>K043-TRA</t>
  </si>
  <si>
    <t>SUEZ RV Ile-de-France-OUEST-Transporteur</t>
  </si>
  <si>
    <t>PESEE-001</t>
  </si>
  <si>
    <t>RESERVE PESEE - DIB PORCHEVILLE</t>
  </si>
  <si>
    <t xml:space="preserve">A100ST.  </t>
  </si>
  <si>
    <t>Déchets non recyclables en mélange Non incinérables</t>
  </si>
  <si>
    <t>PESEE PUBLIQUE</t>
  </si>
  <si>
    <t>PRC591286</t>
  </si>
  <si>
    <t>PRC591287</t>
  </si>
  <si>
    <t>BR2047</t>
  </si>
  <si>
    <t>PESEE47</t>
  </si>
  <si>
    <t>K0ESUEZ</t>
  </si>
  <si>
    <t>SUEZ EAU LIMAY</t>
  </si>
  <si>
    <t>K047000415</t>
  </si>
  <si>
    <t>PESLEV001</t>
  </si>
  <si>
    <t xml:space="preserve">Z200  .  </t>
  </si>
  <si>
    <t>Pesée publique</t>
  </si>
  <si>
    <t>PRC591328</t>
  </si>
  <si>
    <t>PRC591330</t>
  </si>
  <si>
    <t>PRC591335</t>
  </si>
  <si>
    <t>PRC591337</t>
  </si>
  <si>
    <t>GN964XC</t>
  </si>
  <si>
    <t>PINAUB001</t>
  </si>
  <si>
    <t>##PINTA ENAC / ZAC DES CHEVRIES</t>
  </si>
  <si>
    <t xml:space="preserve">XV14  .  </t>
  </si>
  <si>
    <t>Déchets interdits à réception des déchets en mélange</t>
  </si>
  <si>
    <t>PRC591349</t>
  </si>
  <si>
    <t>PRC591356</t>
  </si>
  <si>
    <t>GN153WY</t>
  </si>
  <si>
    <t>00040318-002</t>
  </si>
  <si>
    <t>LA POSTE - BOIS D'ARCY PIC</t>
  </si>
  <si>
    <t>PRC591350</t>
  </si>
  <si>
    <t>PRC591354</t>
  </si>
  <si>
    <t>EN573RN K0E</t>
  </si>
  <si>
    <t>FX AGCAR</t>
  </si>
  <si>
    <t>FX AGENCEMENT</t>
  </si>
  <si>
    <t>K0EFXAGE</t>
  </si>
  <si>
    <t>K047001346</t>
  </si>
  <si>
    <t>SUEPOR001</t>
  </si>
  <si>
    <t>Centre de tri Porcheville</t>
  </si>
  <si>
    <t>PRC591351</t>
  </si>
  <si>
    <t>PRC591358</t>
  </si>
  <si>
    <t>PRC591359</t>
  </si>
  <si>
    <t>PRC591362</t>
  </si>
  <si>
    <t>GN867XC</t>
  </si>
  <si>
    <t>PRC591363</t>
  </si>
  <si>
    <t>PRC591365</t>
  </si>
  <si>
    <t>GN075KS</t>
  </si>
  <si>
    <t>DOMLIM001</t>
  </si>
  <si>
    <t>DOMA LIMAY</t>
  </si>
  <si>
    <t>PRC591369</t>
  </si>
  <si>
    <t>PRC591370</t>
  </si>
  <si>
    <t>GC010PQ K0E</t>
  </si>
  <si>
    <t>K0EVSI</t>
  </si>
  <si>
    <t>VSI</t>
  </si>
  <si>
    <t>PRC591379</t>
  </si>
  <si>
    <t>VALORG47</t>
  </si>
  <si>
    <t>K047001651</t>
  </si>
  <si>
    <t>CTREPOR001</t>
  </si>
  <si>
    <t>Centre de tri &amp; transfert de Porche</t>
  </si>
  <si>
    <t>PRC591385</t>
  </si>
  <si>
    <t>PRC591387</t>
  </si>
  <si>
    <t>FP725TP K0E</t>
  </si>
  <si>
    <t>PRC591474</t>
  </si>
  <si>
    <t>PRC591414</t>
  </si>
  <si>
    <t>PRC591422</t>
  </si>
  <si>
    <t>HF382HK K0E</t>
  </si>
  <si>
    <t>GPSEOAUB</t>
  </si>
  <si>
    <t>K0ESOTRE</t>
  </si>
  <si>
    <t>SOTREMA</t>
  </si>
  <si>
    <t>K047001416</t>
  </si>
  <si>
    <t>DECHMUR001</t>
  </si>
  <si>
    <t>DECHETTERIE LES MUREAUX</t>
  </si>
  <si>
    <t xml:space="preserve">F101  .  </t>
  </si>
  <si>
    <t>Platinages</t>
  </si>
  <si>
    <t xml:space="preserve">A101  .  </t>
  </si>
  <si>
    <t>Refus de tri à réception (requalification)</t>
  </si>
  <si>
    <t>Ferrailles légères</t>
  </si>
  <si>
    <t>PRC591420</t>
  </si>
  <si>
    <t>PRC591421</t>
  </si>
  <si>
    <t>PRC591423</t>
  </si>
  <si>
    <t>PRC591429</t>
  </si>
  <si>
    <t>PRC591430</t>
  </si>
  <si>
    <t>GT451EL</t>
  </si>
  <si>
    <t>PRC591432</t>
  </si>
  <si>
    <t>PRC591446</t>
  </si>
  <si>
    <t>PRC591449</t>
  </si>
  <si>
    <t>IMPLUS EU</t>
  </si>
  <si>
    <t>IMPLIM001</t>
  </si>
  <si>
    <t>PRC591451</t>
  </si>
  <si>
    <t>PRC591452</t>
  </si>
  <si>
    <t>IMPLIM003</t>
  </si>
  <si>
    <t>EVOLUDERM Chez IMPLUS EU QUAI 6 à10</t>
  </si>
  <si>
    <t>PRC591460</t>
  </si>
  <si>
    <t>PRC591461</t>
  </si>
  <si>
    <t>PRC591468</t>
  </si>
  <si>
    <t>PRC591469</t>
  </si>
  <si>
    <t>PRC591472</t>
  </si>
  <si>
    <t>PRC591473</t>
  </si>
  <si>
    <t>PRC591487</t>
  </si>
  <si>
    <t>PRC591488</t>
  </si>
  <si>
    <t>PRC591495</t>
  </si>
  <si>
    <t>PRC591500</t>
  </si>
  <si>
    <t>SAPN</t>
  </si>
  <si>
    <t>SAPMOR001</t>
  </si>
  <si>
    <t>PRC591531</t>
  </si>
  <si>
    <t>PRC591534</t>
  </si>
  <si>
    <t>PRC591532</t>
  </si>
  <si>
    <t>PRC591536</t>
  </si>
  <si>
    <t>ES664YV K0E</t>
  </si>
  <si>
    <t>SOTREM47</t>
  </si>
  <si>
    <t>K047001460</t>
  </si>
  <si>
    <t>CENPOR001</t>
  </si>
  <si>
    <t>CENTRE DE TRI PORCHEVILLE</t>
  </si>
  <si>
    <t>PRC591540</t>
  </si>
  <si>
    <t>PRC591546</t>
  </si>
  <si>
    <t>PRC591541</t>
  </si>
  <si>
    <t>PRC591544</t>
  </si>
  <si>
    <t>EY379JG K0E</t>
  </si>
  <si>
    <t>APTIMA47</t>
  </si>
  <si>
    <t>K0EAPTIM</t>
  </si>
  <si>
    <t>APTIMA</t>
  </si>
  <si>
    <t>K047001337</t>
  </si>
  <si>
    <t>PRC591542</t>
  </si>
  <si>
    <t>PRC591545</t>
  </si>
  <si>
    <t>PRC591549</t>
  </si>
  <si>
    <t>EG236CV K0E</t>
  </si>
  <si>
    <t>STARLA47</t>
  </si>
  <si>
    <t>STARLAB FRANCE</t>
  </si>
  <si>
    <t>K0ESTARL</t>
  </si>
  <si>
    <t>STARLAB</t>
  </si>
  <si>
    <t>K047000390</t>
  </si>
  <si>
    <t>STAPAR001</t>
  </si>
  <si>
    <t xml:space="preserve">D700  .  </t>
  </si>
  <si>
    <t>Autres plastiques techniques</t>
  </si>
  <si>
    <t>PRC591560</t>
  </si>
  <si>
    <t>PRC591561</t>
  </si>
  <si>
    <t>PRC591566</t>
  </si>
  <si>
    <t>PRC591567</t>
  </si>
  <si>
    <t>PRC591571</t>
  </si>
  <si>
    <t>PRC591573</t>
  </si>
  <si>
    <t>DC239FL K0E</t>
  </si>
  <si>
    <t>CDK47</t>
  </si>
  <si>
    <t>K0ECDK</t>
  </si>
  <si>
    <t>CDK</t>
  </si>
  <si>
    <t>K047001268</t>
  </si>
  <si>
    <t>CDKLIM001</t>
  </si>
  <si>
    <t>C D K  LIMAY</t>
  </si>
  <si>
    <t>PRC591580</t>
  </si>
  <si>
    <t>PRC591581</t>
  </si>
  <si>
    <t>EY378JG K0E</t>
  </si>
  <si>
    <t>PRC591630</t>
  </si>
  <si>
    <t>PRC591631</t>
  </si>
  <si>
    <t>PRC591644</t>
  </si>
  <si>
    <t>PRC591646</t>
  </si>
  <si>
    <t>PRC591648</t>
  </si>
  <si>
    <t>PRC591651</t>
  </si>
  <si>
    <t>CRAM SA</t>
  </si>
  <si>
    <t>CRAMUR001</t>
  </si>
  <si>
    <t>PRC591655</t>
  </si>
  <si>
    <t>PRC591657</t>
  </si>
  <si>
    <t>GM345XQ</t>
  </si>
  <si>
    <t>MABEO INDUSTRIES</t>
  </si>
  <si>
    <t>MABTRA001</t>
  </si>
  <si>
    <t>PRC591658</t>
  </si>
  <si>
    <t>CUIMAN001</t>
  </si>
  <si>
    <t>CUISINE DE QUALITE - SITE</t>
  </si>
  <si>
    <t>PRC591292</t>
  </si>
  <si>
    <t>EB031ZC K0E</t>
  </si>
  <si>
    <t>K047001403</t>
  </si>
  <si>
    <t>DECHLIM001</t>
  </si>
  <si>
    <t>DECHETTERIE LIMAY</t>
  </si>
  <si>
    <t xml:space="preserve">B104  .  </t>
  </si>
  <si>
    <t>Carton, CCR</t>
  </si>
  <si>
    <t>PRC591293</t>
  </si>
  <si>
    <t>K047001393</t>
  </si>
  <si>
    <t xml:space="preserve">H101  .  </t>
  </si>
  <si>
    <t>Déchets verts compostables</t>
  </si>
  <si>
    <t>PRC591294</t>
  </si>
  <si>
    <t>K047001413</t>
  </si>
  <si>
    <t>PRC591240</t>
  </si>
  <si>
    <t>PRC591241</t>
  </si>
  <si>
    <t>HOSQUE001</t>
  </si>
  <si>
    <t>Hôpital François QUESNAY</t>
  </si>
  <si>
    <t>PRC591242</t>
  </si>
  <si>
    <t>PRC591243</t>
  </si>
  <si>
    <t>GD116QX K0E</t>
  </si>
  <si>
    <t>ECOMAPAR</t>
  </si>
  <si>
    <t>K0EMAUFF</t>
  </si>
  <si>
    <t>MAUFFREY</t>
  </si>
  <si>
    <t>K047001565</t>
  </si>
  <si>
    <t xml:space="preserve">A300  .  </t>
  </si>
  <si>
    <t>Encombrants et DEA</t>
  </si>
  <si>
    <t>PRC591244</t>
  </si>
  <si>
    <t>PRC591239</t>
  </si>
  <si>
    <t>EM771NV K0E</t>
  </si>
  <si>
    <t>K047-CLT</t>
  </si>
  <si>
    <t>BULLER</t>
  </si>
  <si>
    <t>K047000404</t>
  </si>
  <si>
    <t>SITA IDF PORCHEVILLE - Client</t>
  </si>
  <si>
    <t>PRC591245</t>
  </si>
  <si>
    <t>PRC591246</t>
  </si>
  <si>
    <t>PESEE-003</t>
  </si>
  <si>
    <t>RESERVE PESEE - CARTON PORCHEVILLE</t>
  </si>
  <si>
    <t>PRC591247</t>
  </si>
  <si>
    <t>PRC591248</t>
  </si>
  <si>
    <t>PRC591249</t>
  </si>
  <si>
    <t>PRC591250</t>
  </si>
  <si>
    <t>STEROS001</t>
  </si>
  <si>
    <t>STEP ROSNY SUR SEINE</t>
  </si>
  <si>
    <t xml:space="preserve">G300  .  </t>
  </si>
  <si>
    <t>Sables</t>
  </si>
  <si>
    <t>PRC591251</t>
  </si>
  <si>
    <t>GD436HP K0E</t>
  </si>
  <si>
    <t>VALOES47</t>
  </si>
  <si>
    <t>K0ESEPUR</t>
  </si>
  <si>
    <t>SEPUR</t>
  </si>
  <si>
    <t>K047001764</t>
  </si>
  <si>
    <t>SYNMUR0027</t>
  </si>
  <si>
    <t>APPORTEUR MUREAUX</t>
  </si>
  <si>
    <t>PRC591252</t>
  </si>
  <si>
    <t>FR741BS K0E</t>
  </si>
  <si>
    <t>K0ENICO</t>
  </si>
  <si>
    <t>NICOLLIN</t>
  </si>
  <si>
    <t>K047001770</t>
  </si>
  <si>
    <t>SYNTRI0033</t>
  </si>
  <si>
    <t>APPORTEUR TRIEL SUR SEINE</t>
  </si>
  <si>
    <t>PRC591253</t>
  </si>
  <si>
    <t>PRC591254</t>
  </si>
  <si>
    <t>BP463DN K0E</t>
  </si>
  <si>
    <t>PRC591255</t>
  </si>
  <si>
    <t>PRC591258</t>
  </si>
  <si>
    <t>EZ038NH K0E</t>
  </si>
  <si>
    <t>K047001387</t>
  </si>
  <si>
    <t>CTCPOISSY</t>
  </si>
  <si>
    <t>CTC POISSY</t>
  </si>
  <si>
    <t>PRC591256</t>
  </si>
  <si>
    <t>PRC591257</t>
  </si>
  <si>
    <t>PRC591259</t>
  </si>
  <si>
    <t>PRC591262</t>
  </si>
  <si>
    <t>K047001389</t>
  </si>
  <si>
    <t>DECHAUB001</t>
  </si>
  <si>
    <t>DECHETTERIE AUBERGENVILLE</t>
  </si>
  <si>
    <t>PRC591263</t>
  </si>
  <si>
    <t>PRC591264</t>
  </si>
  <si>
    <t>PRC591265</t>
  </si>
  <si>
    <t>PRC591267</t>
  </si>
  <si>
    <t>K047001376</t>
  </si>
  <si>
    <t>PRC591266</t>
  </si>
  <si>
    <t>PRC591268</t>
  </si>
  <si>
    <t>BARHAR001</t>
  </si>
  <si>
    <t>BARRY CALLEBAUT/USINE EXTERIEURE</t>
  </si>
  <si>
    <t xml:space="preserve">A100IN.  </t>
  </si>
  <si>
    <t>Déchets non recyclables en mélange incinérables</t>
  </si>
  <si>
    <t>PRC591269</t>
  </si>
  <si>
    <t>PRC591260</t>
  </si>
  <si>
    <t>PRC591270</t>
  </si>
  <si>
    <t>PRC591271</t>
  </si>
  <si>
    <t>COGSER003</t>
  </si>
  <si>
    <t>COGETRAD SERAINCOURT</t>
  </si>
  <si>
    <t xml:space="preserve">A200  .  </t>
  </si>
  <si>
    <t>Déchets recyclables en mélange</t>
  </si>
  <si>
    <t>PRC591274</t>
  </si>
  <si>
    <t>PRC591277</t>
  </si>
  <si>
    <t>PRC591275</t>
  </si>
  <si>
    <t>PRC591276</t>
  </si>
  <si>
    <t>PRC591278</t>
  </si>
  <si>
    <t>PRC591280</t>
  </si>
  <si>
    <t>HOSMUR001</t>
  </si>
  <si>
    <t>CHIMM / SITE DE BECHEVILLE</t>
  </si>
  <si>
    <t>PRC591279</t>
  </si>
  <si>
    <t>PRC591281</t>
  </si>
  <si>
    <t>ELITRA001</t>
  </si>
  <si>
    <t>ELIS TRAPPES/MAJ</t>
  </si>
  <si>
    <t xml:space="preserve">F100  .  </t>
  </si>
  <si>
    <t>PRC591282</t>
  </si>
  <si>
    <t>PRC591283</t>
  </si>
  <si>
    <t>EMMAUSFOLL05</t>
  </si>
  <si>
    <t>ESS/EMMAÜS DENNEMONT</t>
  </si>
  <si>
    <t>PRC591284</t>
  </si>
  <si>
    <t>PRC591285</t>
  </si>
  <si>
    <t>NOVCAR001</t>
  </si>
  <si>
    <t>NOVERGIE CARRIERES SOUS POISSY</t>
  </si>
  <si>
    <t xml:space="preserve">F104  .  </t>
  </si>
  <si>
    <t>E46 Ferraille d'incinération</t>
  </si>
  <si>
    <t>PRC591288</t>
  </si>
  <si>
    <t>PRC591289</t>
  </si>
  <si>
    <t>FB578JE K0E</t>
  </si>
  <si>
    <t>PRC591290</t>
  </si>
  <si>
    <t>PRC591291</t>
  </si>
  <si>
    <t>K047001375</t>
  </si>
  <si>
    <t>DECGAR001</t>
  </si>
  <si>
    <t>DECHETTERIE GARGENVILLE</t>
  </si>
  <si>
    <t>PRC591295</t>
  </si>
  <si>
    <t>K047001405</t>
  </si>
  <si>
    <t>DECHMAN001</t>
  </si>
  <si>
    <t>DECHETTERIE DE LA VAUCOULEURS</t>
  </si>
  <si>
    <t>PRC591296</t>
  </si>
  <si>
    <t>K047001378</t>
  </si>
  <si>
    <t>PRC591297</t>
  </si>
  <si>
    <t>DECHETCLOS03</t>
  </si>
  <si>
    <t>CL DECHETERIE DES CLOSEAUX</t>
  </si>
  <si>
    <t>PRC591298</t>
  </si>
  <si>
    <t>DECHETDEPO07</t>
  </si>
  <si>
    <t>CL/DECHETERIE D'EPONE</t>
  </si>
  <si>
    <t>PRC591299</t>
  </si>
  <si>
    <t>K047001415</t>
  </si>
  <si>
    <t>PRC591300</t>
  </si>
  <si>
    <t>DECHETDAUB09</t>
  </si>
  <si>
    <t>CL DECHETERIE D'AUBERGENVILLE</t>
  </si>
  <si>
    <t>PRC591301</t>
  </si>
  <si>
    <t>FD904PJ K0E</t>
  </si>
  <si>
    <t>K047001402</t>
  </si>
  <si>
    <t>PRC591302</t>
  </si>
  <si>
    <t>DECHETLIM02</t>
  </si>
  <si>
    <t>CL/DECHETERIE DE LIMAY</t>
  </si>
  <si>
    <t>PRC591303</t>
  </si>
  <si>
    <t>K047001419</t>
  </si>
  <si>
    <t xml:space="preserve">G201  .  </t>
  </si>
  <si>
    <t>Plâtre valorisable</t>
  </si>
  <si>
    <t>PRC591304</t>
  </si>
  <si>
    <t>DECHETVAUCO6</t>
  </si>
  <si>
    <t>CL/DECHETERIE DE LA VAUCOULEURS</t>
  </si>
  <si>
    <t>PRC591305</t>
  </si>
  <si>
    <t>K047001404</t>
  </si>
  <si>
    <t>DECMAJ001</t>
  </si>
  <si>
    <t>DECHETERIE DES CLOSEAUX MANTES LA J</t>
  </si>
  <si>
    <t>PRC591306</t>
  </si>
  <si>
    <t>FN440JS K0E</t>
  </si>
  <si>
    <t>K047001373</t>
  </si>
  <si>
    <t>DECHCONFL001</t>
  </si>
  <si>
    <t>DECHETTERIE CONFLANS</t>
  </si>
  <si>
    <t>PRC591307</t>
  </si>
  <si>
    <t>FG254YJ K0E</t>
  </si>
  <si>
    <t>K047001371</t>
  </si>
  <si>
    <t>DECHACHE001</t>
  </si>
  <si>
    <t>DECHETTERIE ACHERES</t>
  </si>
  <si>
    <t>PRC591308</t>
  </si>
  <si>
    <t>K047001374</t>
  </si>
  <si>
    <t>DECEPO001</t>
  </si>
  <si>
    <t>DECHETTERIE EPONE</t>
  </si>
  <si>
    <t>PRC591309</t>
  </si>
  <si>
    <t>PRC591310</t>
  </si>
  <si>
    <t>PRC591312</t>
  </si>
  <si>
    <t>PRC591313</t>
  </si>
  <si>
    <t>GZ534BG K0E</t>
  </si>
  <si>
    <t>PRC591314</t>
  </si>
  <si>
    <t>PRC591317</t>
  </si>
  <si>
    <t>GR412TA K0E</t>
  </si>
  <si>
    <t>VALOOU47</t>
  </si>
  <si>
    <t>K0ESOTRA</t>
  </si>
  <si>
    <t>SOTRAMAT</t>
  </si>
  <si>
    <t>K047001727</t>
  </si>
  <si>
    <t>VALMAN0046</t>
  </si>
  <si>
    <t>APPORTEUR MANTES LA VILLE</t>
  </si>
  <si>
    <t>PRC591315</t>
  </si>
  <si>
    <t>PRC591319</t>
  </si>
  <si>
    <t>PRC591316</t>
  </si>
  <si>
    <t>PRC591321</t>
  </si>
  <si>
    <t>DR572JW K0E</t>
  </si>
  <si>
    <t>K047001379</t>
  </si>
  <si>
    <t>PRC591318</t>
  </si>
  <si>
    <t>PRC591320</t>
  </si>
  <si>
    <t>K047001377</t>
  </si>
  <si>
    <t>PRC591322</t>
  </si>
  <si>
    <t>PRC591324</t>
  </si>
  <si>
    <t>PRC591323</t>
  </si>
  <si>
    <t>PRC591311</t>
  </si>
  <si>
    <t>PRC591325</t>
  </si>
  <si>
    <t>PRC591327</t>
  </si>
  <si>
    <t>FQ507VG K0E</t>
  </si>
  <si>
    <t>K047001749</t>
  </si>
  <si>
    <t>SYNCHA0012</t>
  </si>
  <si>
    <t>APPORTEUR CHANTELOUP LES VIGNES</t>
  </si>
  <si>
    <t>PRC591326</t>
  </si>
  <si>
    <t>PRC591329</t>
  </si>
  <si>
    <t>AFULCHAM001</t>
  </si>
  <si>
    <t>AFUL CC CARREFOUR CHAMBOURCY</t>
  </si>
  <si>
    <t>PRC591331</t>
  </si>
  <si>
    <t>PRC591333</t>
  </si>
  <si>
    <t>K047001394</t>
  </si>
  <si>
    <t>PRC591334</t>
  </si>
  <si>
    <t>PRC591336</t>
  </si>
  <si>
    <t>K047001418</t>
  </si>
  <si>
    <t>PRC591338</t>
  </si>
  <si>
    <t>PRC591332</t>
  </si>
  <si>
    <t>BM434XV K0E</t>
  </si>
  <si>
    <t>MAZEASAI</t>
  </si>
  <si>
    <t>MAZEAU RECYCLAGE SAS</t>
  </si>
  <si>
    <t>K0EMAZEA</t>
  </si>
  <si>
    <t>MAZEAU</t>
  </si>
  <si>
    <t>K047001103</t>
  </si>
  <si>
    <t>MAZSTO001</t>
  </si>
  <si>
    <t>PRC591339</t>
  </si>
  <si>
    <t>PRC591340</t>
  </si>
  <si>
    <t>PRC591341</t>
  </si>
  <si>
    <t>PRC591343</t>
  </si>
  <si>
    <t>PRC591344</t>
  </si>
  <si>
    <t>PRC591353</t>
  </si>
  <si>
    <t>BP799YP K0E</t>
  </si>
  <si>
    <t>K0ERECYC</t>
  </si>
  <si>
    <t>RECYCLERIE SOLIDAIRE</t>
  </si>
  <si>
    <t>PRC591345</t>
  </si>
  <si>
    <t>PRC591348</t>
  </si>
  <si>
    <t>PRC591346</t>
  </si>
  <si>
    <t>PRC591352</t>
  </si>
  <si>
    <t>GQ010LS K0E</t>
  </si>
  <si>
    <t>PRC591355</t>
  </si>
  <si>
    <t>PRC591360</t>
  </si>
  <si>
    <t>PRC591357</t>
  </si>
  <si>
    <t>PRC591361</t>
  </si>
  <si>
    <t>PRC591364</t>
  </si>
  <si>
    <t>PRC591342</t>
  </si>
  <si>
    <t>EK711XV K0E</t>
  </si>
  <si>
    <t>K0EDENYL</t>
  </si>
  <si>
    <t>DENYL TRANSPORT</t>
  </si>
  <si>
    <t>K047001218</t>
  </si>
  <si>
    <t xml:space="preserve">C100  .  </t>
  </si>
  <si>
    <t>Bois de classe A</t>
  </si>
  <si>
    <t>PRC591366</t>
  </si>
  <si>
    <t>PRC591368</t>
  </si>
  <si>
    <t>K047001395</t>
  </si>
  <si>
    <t>PRC591367</t>
  </si>
  <si>
    <t>PRC591371</t>
  </si>
  <si>
    <t>HD634EJ K0E</t>
  </si>
  <si>
    <t>PRC591372</t>
  </si>
  <si>
    <t>ETAAUB002</t>
  </si>
  <si>
    <t>ETANCO DEPOT 205</t>
  </si>
  <si>
    <t>PRC591373</t>
  </si>
  <si>
    <t>PRC591347</t>
  </si>
  <si>
    <t>EM771MY K0E</t>
  </si>
  <si>
    <t>PRC591376</t>
  </si>
  <si>
    <t>K047001655</t>
  </si>
  <si>
    <t xml:space="preserve">C400  .  </t>
  </si>
  <si>
    <t>Palettes</t>
  </si>
  <si>
    <t>PRC591377</t>
  </si>
  <si>
    <t>BALMAN001</t>
  </si>
  <si>
    <t>BALLAUFF/MANTES LA VILLE</t>
  </si>
  <si>
    <t xml:space="preserve">C200  .  </t>
  </si>
  <si>
    <t>Bois de classe B</t>
  </si>
  <si>
    <t>PRC591378</t>
  </si>
  <si>
    <t>K047001658</t>
  </si>
  <si>
    <t xml:space="preserve">I201  .  </t>
  </si>
  <si>
    <t>VHU, pare-brise</t>
  </si>
  <si>
    <t>PRC591375</t>
  </si>
  <si>
    <t>K047001398</t>
  </si>
  <si>
    <t>PRC591380</t>
  </si>
  <si>
    <t>K047001653</t>
  </si>
  <si>
    <t xml:space="preserve">B105  .  </t>
  </si>
  <si>
    <t>Carton, CCR triés</t>
  </si>
  <si>
    <t>PRC591381</t>
  </si>
  <si>
    <t>K047001650</t>
  </si>
  <si>
    <t>PRC591382</t>
  </si>
  <si>
    <t>PRC591386</t>
  </si>
  <si>
    <t>OPTILES005</t>
  </si>
  <si>
    <t>##OPTIONS/SITE DECO/PORTE 38</t>
  </si>
  <si>
    <t>PRC591383</t>
  </si>
  <si>
    <t>PRC591384</t>
  </si>
  <si>
    <t>PRC591374</t>
  </si>
  <si>
    <t>FW270H K0E</t>
  </si>
  <si>
    <t>EPALILIM</t>
  </si>
  <si>
    <t>K0EEPALI</t>
  </si>
  <si>
    <t>EPALIA</t>
  </si>
  <si>
    <t>K047001528</t>
  </si>
  <si>
    <t>CTRE DE TRI &amp; TRANSFERT PORCHEVILLE</t>
  </si>
  <si>
    <t>PRC591388</t>
  </si>
  <si>
    <t>PRC591389</t>
  </si>
  <si>
    <t>HEURTEAUX SAS</t>
  </si>
  <si>
    <t>HEUMAU001</t>
  </si>
  <si>
    <t>PRC591390</t>
  </si>
  <si>
    <t>PRC591391</t>
  </si>
  <si>
    <t>CD239FL K0E</t>
  </si>
  <si>
    <t>K047001270</t>
  </si>
  <si>
    <t>PEBD</t>
  </si>
  <si>
    <t>PRC591392</t>
  </si>
  <si>
    <t>PRC591393</t>
  </si>
  <si>
    <t xml:space="preserve">D400  .  </t>
  </si>
  <si>
    <t>PRC591394</t>
  </si>
  <si>
    <t>PRC591397</t>
  </si>
  <si>
    <t>GZ221GM K0E</t>
  </si>
  <si>
    <t>K047001372</t>
  </si>
  <si>
    <t>PRC591395</t>
  </si>
  <si>
    <t>PRC591396</t>
  </si>
  <si>
    <t>GD834CD K0E</t>
  </si>
  <si>
    <t>K047001752</t>
  </si>
  <si>
    <t>SYNECQ0015</t>
  </si>
  <si>
    <t>APPORTEUR ECQUEVILLY</t>
  </si>
  <si>
    <t>PRC591398</t>
  </si>
  <si>
    <t>PRC591399</t>
  </si>
  <si>
    <t>PRC591402</t>
  </si>
  <si>
    <t>PRC591404</t>
  </si>
  <si>
    <t>CX285FE K0E</t>
  </si>
  <si>
    <t>K047001726</t>
  </si>
  <si>
    <t>VALMAN0045</t>
  </si>
  <si>
    <t>APPORTEUR MANTES LA JOLIE</t>
  </si>
  <si>
    <t>PRC591403</t>
  </si>
  <si>
    <t>PRC591401</t>
  </si>
  <si>
    <t>GV481FG K0E</t>
  </si>
  <si>
    <t>K047001568</t>
  </si>
  <si>
    <t xml:space="preserve">A302  .  </t>
  </si>
  <si>
    <t>DEA Literie</t>
  </si>
  <si>
    <t>PRC591405</t>
  </si>
  <si>
    <t>PRC591400</t>
  </si>
  <si>
    <t>GH250KK K0E</t>
  </si>
  <si>
    <t>K0ERTRAN</t>
  </si>
  <si>
    <t>RTRANSPORT</t>
  </si>
  <si>
    <t>PRC591406</t>
  </si>
  <si>
    <t>PRC591407</t>
  </si>
  <si>
    <t>PRC591408</t>
  </si>
  <si>
    <t>PRC591409</t>
  </si>
  <si>
    <t>K047001501</t>
  </si>
  <si>
    <t>PRC591410</t>
  </si>
  <si>
    <t>PRC591412</t>
  </si>
  <si>
    <t>K047001659</t>
  </si>
  <si>
    <t>PRC591411</t>
  </si>
  <si>
    <t>PRC591418</t>
  </si>
  <si>
    <t>PRC591413</t>
  </si>
  <si>
    <t>PRC591415</t>
  </si>
  <si>
    <t>PRC591416</t>
  </si>
  <si>
    <t>PRC591417</t>
  </si>
  <si>
    <t>PRC591419</t>
  </si>
  <si>
    <t>PRC591433</t>
  </si>
  <si>
    <t>DS390TM K0E</t>
  </si>
  <si>
    <t>K047001455</t>
  </si>
  <si>
    <t xml:space="preserve">D402  .  </t>
  </si>
  <si>
    <t>Film PEBD 80/20</t>
  </si>
  <si>
    <t>PRC591424</t>
  </si>
  <si>
    <t>PRC591425</t>
  </si>
  <si>
    <t>PRC591426</t>
  </si>
  <si>
    <t>PRC591427</t>
  </si>
  <si>
    <t>MANTES EXPLOITATION</t>
  </si>
  <si>
    <t>MANMAN001</t>
  </si>
  <si>
    <t>PRC591428</t>
  </si>
  <si>
    <t>K047000405</t>
  </si>
  <si>
    <t>PRC591431</t>
  </si>
  <si>
    <t>RENFLI007</t>
  </si>
  <si>
    <t>RENAULT FLINS BAT P</t>
  </si>
  <si>
    <t>PRC591434</t>
  </si>
  <si>
    <t>PRC591436</t>
  </si>
  <si>
    <t>TATBUC002</t>
  </si>
  <si>
    <t>TATI MAG GIFI BUCHELAY</t>
  </si>
  <si>
    <t>PRC591435</t>
  </si>
  <si>
    <t>PRC591439</t>
  </si>
  <si>
    <t>PRC591440</t>
  </si>
  <si>
    <t>PRC591448</t>
  </si>
  <si>
    <t>K047001400</t>
  </si>
  <si>
    <t>PRC591441</t>
  </si>
  <si>
    <t>PRC591444</t>
  </si>
  <si>
    <t>GZ493CZ K0E</t>
  </si>
  <si>
    <t>CEGEDSTA</t>
  </si>
  <si>
    <t>K0EC2M</t>
  </si>
  <si>
    <t>C2M TRANS</t>
  </si>
  <si>
    <t>K047001453</t>
  </si>
  <si>
    <t>CEGPOR001</t>
  </si>
  <si>
    <t>CEGEDIM MEDIA</t>
  </si>
  <si>
    <t>PRC591442</t>
  </si>
  <si>
    <t>PRC591445</t>
  </si>
  <si>
    <t>PRC591443</t>
  </si>
  <si>
    <t>PRC591447</t>
  </si>
  <si>
    <t>GN073GG K0E</t>
  </si>
  <si>
    <t>K0EROLLE</t>
  </si>
  <si>
    <t>ROLLE HOLBEKE</t>
  </si>
  <si>
    <t>PRC591450</t>
  </si>
  <si>
    <t>PRC591437</t>
  </si>
  <si>
    <t>PRC591454</t>
  </si>
  <si>
    <t>PRC591438</t>
  </si>
  <si>
    <t>GM474NT K0E</t>
  </si>
  <si>
    <t>K0EFRANC</t>
  </si>
  <si>
    <t>FRANCK HENRY TRANSPORTS</t>
  </si>
  <si>
    <t>PRC591455</t>
  </si>
  <si>
    <t>PRC591459</t>
  </si>
  <si>
    <t>PRC591456</t>
  </si>
  <si>
    <t>PRC591458</t>
  </si>
  <si>
    <t>GD010LS K0E</t>
  </si>
  <si>
    <t>K047001774</t>
  </si>
  <si>
    <t>SYNVIL0037</t>
  </si>
  <si>
    <t>APPORTEUR VILLENNES SUR SEINE</t>
  </si>
  <si>
    <t>PRC591457</t>
  </si>
  <si>
    <t>PRC591453</t>
  </si>
  <si>
    <t>FJ415DA K0E</t>
  </si>
  <si>
    <t>K0ECOLLE</t>
  </si>
  <si>
    <t>COLLECTI VERT</t>
  </si>
  <si>
    <t>K047000453</t>
  </si>
  <si>
    <t>PRC591462</t>
  </si>
  <si>
    <t>PRC591463</t>
  </si>
  <si>
    <t>PRC591464</t>
  </si>
  <si>
    <t>PRC591465</t>
  </si>
  <si>
    <t>PRC591466</t>
  </si>
  <si>
    <t>PRC591467</t>
  </si>
  <si>
    <t>PRC591470</t>
  </si>
  <si>
    <t>PRC591471</t>
  </si>
  <si>
    <t>PRC591475</t>
  </si>
  <si>
    <t>PRC591476</t>
  </si>
  <si>
    <t>K047001744</t>
  </si>
  <si>
    <t>SYNAND007</t>
  </si>
  <si>
    <t>APPORTEUR ANDRESY</t>
  </si>
  <si>
    <t>PRC591582</t>
  </si>
  <si>
    <t>EN739KS K0E</t>
  </si>
  <si>
    <t>K047001422</t>
  </si>
  <si>
    <t>PRC591583</t>
  </si>
  <si>
    <t>K047001406</t>
  </si>
  <si>
    <t>PRC591477</t>
  </si>
  <si>
    <t>PRC591478</t>
  </si>
  <si>
    <t>SST-DD832KN</t>
  </si>
  <si>
    <t>K034-CLT</t>
  </si>
  <si>
    <t>K034-TRA</t>
  </si>
  <si>
    <t>SUEZ RV Ile-de-France NORD-Transporteur</t>
  </si>
  <si>
    <t>DEMMAN001</t>
  </si>
  <si>
    <t>DEMATHIEU MANTES LA JOLIE ATELIER</t>
  </si>
  <si>
    <t>PRC591480</t>
  </si>
  <si>
    <t>PRC591481</t>
  </si>
  <si>
    <t>PRC591484</t>
  </si>
  <si>
    <t>PRC591485</t>
  </si>
  <si>
    <t>K047001383</t>
  </si>
  <si>
    <t>CTCCONFLANS</t>
  </si>
  <si>
    <t>CTC CONFLANS</t>
  </si>
  <si>
    <t>PRC591486</t>
  </si>
  <si>
    <t>PRC591489</t>
  </si>
  <si>
    <t>K047001382</t>
  </si>
  <si>
    <t>CTCBUC001</t>
  </si>
  <si>
    <t>##CTC BUCHELAY</t>
  </si>
  <si>
    <t>PRC591490</t>
  </si>
  <si>
    <t>PRC591479</t>
  </si>
  <si>
    <t>HB071SN K0E</t>
  </si>
  <si>
    <t>SITANN47</t>
  </si>
  <si>
    <t>K0ETSA</t>
  </si>
  <si>
    <t>T.S.A SAS</t>
  </si>
  <si>
    <t>K047000517</t>
  </si>
  <si>
    <t>SITNAN001</t>
  </si>
  <si>
    <t>SITA NEGOCE</t>
  </si>
  <si>
    <t>PRC591491</t>
  </si>
  <si>
    <t>PRC591492</t>
  </si>
  <si>
    <t>DY477HS</t>
  </si>
  <si>
    <t>PRC591493</t>
  </si>
  <si>
    <t>PRC591496</t>
  </si>
  <si>
    <t xml:space="preserve">I100  .  </t>
  </si>
  <si>
    <t>Verre alimentaire</t>
  </si>
  <si>
    <t>PRC591494</t>
  </si>
  <si>
    <t>PRC591498</t>
  </si>
  <si>
    <t>PRC591497</t>
  </si>
  <si>
    <t>PRC591499</t>
  </si>
  <si>
    <t>PRC591501</t>
  </si>
  <si>
    <t>PRC591503</t>
  </si>
  <si>
    <t>HG742GJ K0E</t>
  </si>
  <si>
    <t>K0EGPSEO</t>
  </si>
  <si>
    <t>GPSEO</t>
  </si>
  <si>
    <t>K047001724</t>
  </si>
  <si>
    <t>VALLIM0043</t>
  </si>
  <si>
    <t>APPORTEUR LIMAY</t>
  </si>
  <si>
    <t>PRC591502</t>
  </si>
  <si>
    <t>PRC591505</t>
  </si>
  <si>
    <t>PRC591504</t>
  </si>
  <si>
    <t>PRC591506</t>
  </si>
  <si>
    <t>CX576JC K0E</t>
  </si>
  <si>
    <t>PRC591507</t>
  </si>
  <si>
    <t>PRC591510</t>
  </si>
  <si>
    <t>SAFBUC001</t>
  </si>
  <si>
    <t>SAFRAN HELICOPTER ENGINES</t>
  </si>
  <si>
    <t xml:space="preserve">E111  .  </t>
  </si>
  <si>
    <t>Aluminium Chutes Neuves</t>
  </si>
  <si>
    <t>PRC591508</t>
  </si>
  <si>
    <t>PRC591509</t>
  </si>
  <si>
    <t>SILLIM001</t>
  </si>
  <si>
    <t>SILCA SAS / ZI DE PORCHEVILLE</t>
  </si>
  <si>
    <t>PRC591511</t>
  </si>
  <si>
    <t>PRC591514</t>
  </si>
  <si>
    <t>PRC591512</t>
  </si>
  <si>
    <t>PRC591515</t>
  </si>
  <si>
    <t>PRC591516</t>
  </si>
  <si>
    <t>PRC591519</t>
  </si>
  <si>
    <t>ER862HY K0E</t>
  </si>
  <si>
    <t>K0EVEOLI</t>
  </si>
  <si>
    <t>VEOLIA - TAIS</t>
  </si>
  <si>
    <t>K047001748</t>
  </si>
  <si>
    <t>SYNCAR0011</t>
  </si>
  <si>
    <t>APPORTEUR CARRIERES SOUS POISSY</t>
  </si>
  <si>
    <t>PRC591517</t>
  </si>
  <si>
    <t>PRC591518</t>
  </si>
  <si>
    <t>PCALIM001</t>
  </si>
  <si>
    <t>PROD CHIMIQUE AUXIL SYNTHESE</t>
  </si>
  <si>
    <t>PRC591520</t>
  </si>
  <si>
    <t>PRC591523</t>
  </si>
  <si>
    <t>GJ460QC K0E</t>
  </si>
  <si>
    <t>K047001741</t>
  </si>
  <si>
    <t>SYNSAI004</t>
  </si>
  <si>
    <t>APPORTEUR SAINT GERMAIN EN LAYE</t>
  </si>
  <si>
    <t>PRC591521</t>
  </si>
  <si>
    <t>PRC591524</t>
  </si>
  <si>
    <t>GJ977PQ K0E</t>
  </si>
  <si>
    <t>PRC591522</t>
  </si>
  <si>
    <t>PRC591525</t>
  </si>
  <si>
    <t>FS163YP K0E</t>
  </si>
  <si>
    <t>K047001768</t>
  </si>
  <si>
    <t>SYNPOI0031</t>
  </si>
  <si>
    <t>APPORTEUR POISSY</t>
  </si>
  <si>
    <t>PRC591527</t>
  </si>
  <si>
    <t>PRC591528</t>
  </si>
  <si>
    <t>K047001657</t>
  </si>
  <si>
    <t>PRC591529</t>
  </si>
  <si>
    <t>PRC591530</t>
  </si>
  <si>
    <t>PRC591533</t>
  </si>
  <si>
    <t>PRC591513</t>
  </si>
  <si>
    <t>GC431XK K0E</t>
  </si>
  <si>
    <t>PRC591535</t>
  </si>
  <si>
    <t>PRC591537</t>
  </si>
  <si>
    <t>PRC591538</t>
  </si>
  <si>
    <t>PRC591539</t>
  </si>
  <si>
    <t>PRC591543</t>
  </si>
  <si>
    <t>PRC591547</t>
  </si>
  <si>
    <t>PRC591548</t>
  </si>
  <si>
    <t>GQ713EE</t>
  </si>
  <si>
    <t>PESEE-002</t>
  </si>
  <si>
    <t>RESERVE PESEE-CARTON PORCHEVILLE</t>
  </si>
  <si>
    <t>PRC591550</t>
  </si>
  <si>
    <t>PRC591526</t>
  </si>
  <si>
    <t>PRC591551</t>
  </si>
  <si>
    <t>K047001475</t>
  </si>
  <si>
    <t>CTCMUREAUX</t>
  </si>
  <si>
    <t>CTC LES MUREAUX</t>
  </si>
  <si>
    <t>PRC591552</t>
  </si>
  <si>
    <t>TERMUR001</t>
  </si>
  <si>
    <t>##TERREAL SAS</t>
  </si>
  <si>
    <t>PRC591554</t>
  </si>
  <si>
    <t>PRC591555</t>
  </si>
  <si>
    <t>K047001424</t>
  </si>
  <si>
    <t>PRC591556</t>
  </si>
  <si>
    <t>PRC591557</t>
  </si>
  <si>
    <t>PRC591558</t>
  </si>
  <si>
    <t>PRC591649</t>
  </si>
  <si>
    <t>CG010LS K0E</t>
  </si>
  <si>
    <t>K047001767</t>
  </si>
  <si>
    <t>SYNORG0030</t>
  </si>
  <si>
    <t>APPORTEUR ORGEVAL</t>
  </si>
  <si>
    <t>PRC591559</t>
  </si>
  <si>
    <t>PRC591562</t>
  </si>
  <si>
    <t>PRC591553</t>
  </si>
  <si>
    <t>PRC591563</t>
  </si>
  <si>
    <t>PRC591570</t>
  </si>
  <si>
    <t>CE970JL K0E</t>
  </si>
  <si>
    <t>KB NEANE</t>
  </si>
  <si>
    <t>K0EKBNEG</t>
  </si>
  <si>
    <t>KB NEGOCE</t>
  </si>
  <si>
    <t>K047001589</t>
  </si>
  <si>
    <t>PRC591564</t>
  </si>
  <si>
    <t>PRC591569</t>
  </si>
  <si>
    <t>DP814ZW K0E</t>
  </si>
  <si>
    <t>PRC591565</t>
  </si>
  <si>
    <t>PRC591568</t>
  </si>
  <si>
    <t>PRC591576</t>
  </si>
  <si>
    <t>FQ507WG K0E</t>
  </si>
  <si>
    <t>PRC591572</t>
  </si>
  <si>
    <t>PRC591574</t>
  </si>
  <si>
    <t>PRC591575</t>
  </si>
  <si>
    <t>PRC591577</t>
  </si>
  <si>
    <t>PRC591578</t>
  </si>
  <si>
    <t>PRC591579</t>
  </si>
  <si>
    <t>ALKLIM001</t>
  </si>
  <si>
    <t>ALKERN MLX LIMAY</t>
  </si>
  <si>
    <t>PRC591661</t>
  </si>
  <si>
    <t>K047001745</t>
  </si>
  <si>
    <t>SYNAUB008</t>
  </si>
  <si>
    <t>APPORTEUR AUBERGENVILLE</t>
  </si>
  <si>
    <t>PRC591584</t>
  </si>
  <si>
    <t>PRC591585</t>
  </si>
  <si>
    <t>GT224NF K0E</t>
  </si>
  <si>
    <t>K047001399</t>
  </si>
  <si>
    <t>PRC591587</t>
  </si>
  <si>
    <t>PRC591588</t>
  </si>
  <si>
    <t>K047001573</t>
  </si>
  <si>
    <t>CTCCAR002</t>
  </si>
  <si>
    <t>##COMMUNAUTE A./GROUPE SCOLAIRE P.</t>
  </si>
  <si>
    <t>PRC591590</t>
  </si>
  <si>
    <t>PRC591592</t>
  </si>
  <si>
    <t>PRC591591</t>
  </si>
  <si>
    <t>PRC591593</t>
  </si>
  <si>
    <t>PRC591595</t>
  </si>
  <si>
    <t>PRC591597</t>
  </si>
  <si>
    <t>GT463DN K0E</t>
  </si>
  <si>
    <t>K047001766</t>
  </si>
  <si>
    <t>SYNOIN0029</t>
  </si>
  <si>
    <t>APPORTEUR OINVILLE SUR MONTCIENT</t>
  </si>
  <si>
    <t>PRC591596</t>
  </si>
  <si>
    <t>PRC591586</t>
  </si>
  <si>
    <t>EJ908KJ K0E</t>
  </si>
  <si>
    <t>PRC591600</t>
  </si>
  <si>
    <t>PRC591603</t>
  </si>
  <si>
    <t>ENGCHA001</t>
  </si>
  <si>
    <t>ENGIE HOME SERVICES CHAVENAY</t>
  </si>
  <si>
    <t>PRC591601</t>
  </si>
  <si>
    <t>PRC591605</t>
  </si>
  <si>
    <t>PRC591602</t>
  </si>
  <si>
    <t>PRC591607</t>
  </si>
  <si>
    <t>PRC591604</t>
  </si>
  <si>
    <t>PRC591589</t>
  </si>
  <si>
    <t>FQ373FJ K0E</t>
  </si>
  <si>
    <t>K0EGCANT</t>
  </si>
  <si>
    <t>GCATRANS</t>
  </si>
  <si>
    <t>K047001566</t>
  </si>
  <si>
    <t xml:space="preserve">A301  .  </t>
  </si>
  <si>
    <t>DEA Bois</t>
  </si>
  <si>
    <t>PRC591606</t>
  </si>
  <si>
    <t>PRC591609</t>
  </si>
  <si>
    <t>NIKE RETAIL BV NIKE FACTORY STORE</t>
  </si>
  <si>
    <t>NIKPLA001</t>
  </si>
  <si>
    <t>PRC591608</t>
  </si>
  <si>
    <t>PRC591594</t>
  </si>
  <si>
    <t>GT495SB K0E</t>
  </si>
  <si>
    <t>PRC591610</t>
  </si>
  <si>
    <t>PRC591611</t>
  </si>
  <si>
    <t>PRC591612</t>
  </si>
  <si>
    <t>PRC591598</t>
  </si>
  <si>
    <t>EB378PH K0E</t>
  </si>
  <si>
    <t>K047001569</t>
  </si>
  <si>
    <t xml:space="preserve">A304  .  </t>
  </si>
  <si>
    <t>DEA Rembourré</t>
  </si>
  <si>
    <t>PRC591613</t>
  </si>
  <si>
    <t>PRC591616</t>
  </si>
  <si>
    <t>GM258BT</t>
  </si>
  <si>
    <t>ENVPOI001</t>
  </si>
  <si>
    <t>ENVIRONNEMENT SA</t>
  </si>
  <si>
    <t>PRC591614</t>
  </si>
  <si>
    <t>PRC591615</t>
  </si>
  <si>
    <t>DY377CM K0E</t>
  </si>
  <si>
    <t>PRC591617</t>
  </si>
  <si>
    <t>PRC591619</t>
  </si>
  <si>
    <t>PRC591618</t>
  </si>
  <si>
    <t>PRC591620</t>
  </si>
  <si>
    <t>PRC591622</t>
  </si>
  <si>
    <t>PRC591625</t>
  </si>
  <si>
    <t>PRC591623</t>
  </si>
  <si>
    <t>PRC591626</t>
  </si>
  <si>
    <t>PRC591624</t>
  </si>
  <si>
    <t>PRC591599</t>
  </si>
  <si>
    <t>PRC591627</t>
  </si>
  <si>
    <t>PRC591629</t>
  </si>
  <si>
    <t>PRC591628</t>
  </si>
  <si>
    <t>PRC591621</t>
  </si>
  <si>
    <t>FN171VA K0E</t>
  </si>
  <si>
    <t>PRC591632</t>
  </si>
  <si>
    <t>PRC591633</t>
  </si>
  <si>
    <t>PRC591634</t>
  </si>
  <si>
    <t>PRC591635</t>
  </si>
  <si>
    <t>PRC591637</t>
  </si>
  <si>
    <t>PRC591638</t>
  </si>
  <si>
    <t>CIPEPO001</t>
  </si>
  <si>
    <t>CIPAL</t>
  </si>
  <si>
    <t xml:space="preserve">D404  .  </t>
  </si>
  <si>
    <t>Film PEBD 100% nat</t>
  </si>
  <si>
    <t>PRC591639</t>
  </si>
  <si>
    <t>PRC591641</t>
  </si>
  <si>
    <t>PRC591640</t>
  </si>
  <si>
    <t>PRC591643</t>
  </si>
  <si>
    <t>INEJOL002</t>
  </si>
  <si>
    <t>INEO_MANTES LA JOLIE</t>
  </si>
  <si>
    <t>PRC591642</t>
  </si>
  <si>
    <t>PRC591645</t>
  </si>
  <si>
    <t>FT111NG K0E</t>
  </si>
  <si>
    <t>SATELLIE</t>
  </si>
  <si>
    <t>K0ESATEL</t>
  </si>
  <si>
    <t>SATEL ENVIRONNEMENT</t>
  </si>
  <si>
    <t>K047001672</t>
  </si>
  <si>
    <t>CENTREDE TRI</t>
  </si>
  <si>
    <t>ENTRE DE TRI &amp; TRANSFERT DE PORCHEV</t>
  </si>
  <si>
    <t>PRC591647</t>
  </si>
  <si>
    <t>PRC591650</t>
  </si>
  <si>
    <t>PRC591652</t>
  </si>
  <si>
    <t>PRC591653</t>
  </si>
  <si>
    <t>DOKPER001</t>
  </si>
  <si>
    <t>DOKA</t>
  </si>
  <si>
    <t>PRC591654</t>
  </si>
  <si>
    <t>PRC591656</t>
  </si>
  <si>
    <t>PRC591659</t>
  </si>
  <si>
    <t>PRC591660</t>
  </si>
  <si>
    <t>PRC591662</t>
  </si>
  <si>
    <t>PRC591663</t>
  </si>
  <si>
    <t>PRC591664</t>
  </si>
  <si>
    <t>K047001381</t>
  </si>
  <si>
    <t>CTCAUBER001</t>
  </si>
  <si>
    <t>CTC AUBERGENVILLE</t>
  </si>
  <si>
    <t>PRC591665</t>
  </si>
  <si>
    <t>00058896-001</t>
  </si>
  <si>
    <t>DEX IDF LP POISSY ACP</t>
  </si>
  <si>
    <t>PRC591666</t>
  </si>
  <si>
    <t>PRC591667</t>
  </si>
  <si>
    <t>PRC591668</t>
  </si>
  <si>
    <t>PRC591669</t>
  </si>
  <si>
    <t>PRC591670</t>
  </si>
  <si>
    <t>PRC591671</t>
  </si>
  <si>
    <t>GC146RP K0E</t>
  </si>
  <si>
    <t>PRC591672</t>
  </si>
  <si>
    <t>PRC591675</t>
  </si>
  <si>
    <t>K047001751</t>
  </si>
  <si>
    <t>SYNCON0014</t>
  </si>
  <si>
    <t>APPORTEUR CONFLANS SAINTE HONORINE</t>
  </si>
  <si>
    <t>PRC591676</t>
  </si>
  <si>
    <t>GT309SA K0E</t>
  </si>
  <si>
    <t>K047001742</t>
  </si>
  <si>
    <t>SYNACH005</t>
  </si>
  <si>
    <t>APPORTEUR ACHERES</t>
  </si>
  <si>
    <t>PRC591677</t>
  </si>
  <si>
    <t>FM039NA K0E</t>
  </si>
  <si>
    <t>PRC591678</t>
  </si>
  <si>
    <t>FS208NA K0E</t>
  </si>
  <si>
    <t>PRC591679</t>
  </si>
  <si>
    <t>PRC591673</t>
  </si>
  <si>
    <t>K047001380</t>
  </si>
  <si>
    <t>DECHORGE001</t>
  </si>
  <si>
    <t>DECHETTERIE ORGEVAL</t>
  </si>
  <si>
    <t>PRC591674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</si>
</sst>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2983-DEB5-4039-BA42-95557F5ACCF1}">
  <sheetPr filterMode="1"/>
  <dimension ref="A1:S293"/>
  <sheetViews>
    <sheetView tabSelected="1" topLeftCell="A163" workbookViewId="0">
      <selection activeCell="M188" sqref="M188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5">
      <c r="A2" t="s">
        <v>20</v>
      </c>
      <c r="B2" t="s">
        <v>21</v>
      </c>
      <c r="C2" s="1">
        <v>46024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 t="s">
        <v>27</v>
      </c>
      <c r="K2" t="s">
        <v>28</v>
      </c>
      <c r="L2" t="s">
        <v>29</v>
      </c>
      <c r="M2">
        <v>860</v>
      </c>
      <c r="N2">
        <v>19620</v>
      </c>
      <c r="O2">
        <v>18760</v>
      </c>
      <c r="P2">
        <v>0</v>
      </c>
      <c r="S2">
        <v>0</v>
      </c>
    </row>
    <row r="3" spans="1:19" hidden="1" x14ac:dyDescent="0.25">
      <c r="A3" t="s">
        <v>31</v>
      </c>
      <c r="B3" t="s">
        <v>32</v>
      </c>
      <c r="C3" s="1">
        <v>46024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30</v>
      </c>
      <c r="K3" t="s">
        <v>39</v>
      </c>
      <c r="L3" t="s">
        <v>40</v>
      </c>
      <c r="M3">
        <v>1960</v>
      </c>
      <c r="N3">
        <v>16200</v>
      </c>
      <c r="O3">
        <v>14240</v>
      </c>
      <c r="P3">
        <v>0</v>
      </c>
      <c r="S3">
        <v>0</v>
      </c>
    </row>
    <row r="4" spans="1:19" hidden="1" x14ac:dyDescent="0.25">
      <c r="A4" t="s">
        <v>41</v>
      </c>
      <c r="B4" t="s">
        <v>42</v>
      </c>
      <c r="C4" s="1">
        <v>46027</v>
      </c>
      <c r="D4" t="s">
        <v>22</v>
      </c>
      <c r="E4" t="s">
        <v>23</v>
      </c>
      <c r="F4" t="s">
        <v>24</v>
      </c>
      <c r="G4" t="s">
        <v>25</v>
      </c>
      <c r="I4" t="s">
        <v>26</v>
      </c>
      <c r="J4" t="s">
        <v>27</v>
      </c>
      <c r="K4" t="s">
        <v>28</v>
      </c>
      <c r="L4" t="s">
        <v>29</v>
      </c>
      <c r="M4">
        <v>1060</v>
      </c>
      <c r="N4">
        <v>19900</v>
      </c>
      <c r="O4">
        <v>18840</v>
      </c>
      <c r="P4">
        <v>0</v>
      </c>
      <c r="S4">
        <v>0</v>
      </c>
    </row>
    <row r="5" spans="1:19" hidden="1" x14ac:dyDescent="0.25">
      <c r="A5" t="s">
        <v>43</v>
      </c>
      <c r="B5" t="s">
        <v>44</v>
      </c>
      <c r="C5" s="1">
        <v>46027</v>
      </c>
      <c r="D5" t="s">
        <v>45</v>
      </c>
      <c r="E5" t="s">
        <v>23</v>
      </c>
      <c r="F5" t="s">
        <v>24</v>
      </c>
      <c r="G5" t="s">
        <v>25</v>
      </c>
      <c r="I5" t="s">
        <v>46</v>
      </c>
      <c r="J5" t="s">
        <v>47</v>
      </c>
      <c r="K5" t="s">
        <v>28</v>
      </c>
      <c r="L5" t="s">
        <v>29</v>
      </c>
      <c r="M5">
        <v>3840</v>
      </c>
      <c r="N5">
        <v>18940</v>
      </c>
      <c r="O5">
        <v>15100</v>
      </c>
      <c r="P5">
        <v>0</v>
      </c>
      <c r="Q5" t="s">
        <v>48</v>
      </c>
      <c r="R5" t="s">
        <v>49</v>
      </c>
      <c r="S5">
        <v>0</v>
      </c>
    </row>
    <row r="6" spans="1:19" hidden="1" x14ac:dyDescent="0.25">
      <c r="A6" t="s">
        <v>50</v>
      </c>
      <c r="B6" t="s">
        <v>51</v>
      </c>
      <c r="C6" s="1">
        <v>46027</v>
      </c>
      <c r="D6" t="s">
        <v>52</v>
      </c>
      <c r="E6" t="s">
        <v>23</v>
      </c>
      <c r="F6" t="s">
        <v>24</v>
      </c>
      <c r="G6" t="s">
        <v>25</v>
      </c>
      <c r="I6" t="s">
        <v>53</v>
      </c>
      <c r="J6" t="s">
        <v>54</v>
      </c>
      <c r="K6" t="s">
        <v>28</v>
      </c>
      <c r="L6" t="s">
        <v>29</v>
      </c>
      <c r="M6">
        <v>1300</v>
      </c>
      <c r="N6">
        <v>17080</v>
      </c>
      <c r="O6">
        <v>15780</v>
      </c>
      <c r="P6">
        <v>0</v>
      </c>
      <c r="S6">
        <v>0</v>
      </c>
    </row>
    <row r="7" spans="1:19" hidden="1" x14ac:dyDescent="0.25">
      <c r="A7" t="s">
        <v>55</v>
      </c>
      <c r="B7" t="s">
        <v>56</v>
      </c>
      <c r="C7" s="1">
        <v>46027</v>
      </c>
      <c r="D7" t="s">
        <v>57</v>
      </c>
      <c r="E7" t="s">
        <v>58</v>
      </c>
      <c r="F7" t="s">
        <v>60</v>
      </c>
      <c r="G7" t="s">
        <v>59</v>
      </c>
      <c r="H7" t="s">
        <v>61</v>
      </c>
      <c r="I7" t="s">
        <v>62</v>
      </c>
      <c r="J7" t="s">
        <v>63</v>
      </c>
      <c r="K7" t="s">
        <v>28</v>
      </c>
      <c r="L7" t="s">
        <v>29</v>
      </c>
      <c r="M7">
        <v>180</v>
      </c>
      <c r="N7">
        <v>2780</v>
      </c>
      <c r="O7">
        <v>2600</v>
      </c>
      <c r="P7">
        <v>0</v>
      </c>
      <c r="Q7" t="s">
        <v>48</v>
      </c>
      <c r="R7" t="s">
        <v>49</v>
      </c>
      <c r="S7">
        <v>0</v>
      </c>
    </row>
    <row r="8" spans="1:19" hidden="1" x14ac:dyDescent="0.25">
      <c r="A8" t="s">
        <v>64</v>
      </c>
      <c r="B8" t="s">
        <v>65</v>
      </c>
      <c r="C8" s="1">
        <v>46027</v>
      </c>
      <c r="D8" t="s">
        <v>45</v>
      </c>
      <c r="E8" t="s">
        <v>23</v>
      </c>
      <c r="F8" t="s">
        <v>24</v>
      </c>
      <c r="G8" t="s">
        <v>25</v>
      </c>
      <c r="I8" t="s">
        <v>46</v>
      </c>
      <c r="J8" t="s">
        <v>47</v>
      </c>
      <c r="K8" t="s">
        <v>28</v>
      </c>
      <c r="L8" t="s">
        <v>29</v>
      </c>
      <c r="M8">
        <v>1420</v>
      </c>
      <c r="N8">
        <v>16560</v>
      </c>
      <c r="O8">
        <v>15140</v>
      </c>
      <c r="P8">
        <v>0</v>
      </c>
      <c r="Q8" t="s">
        <v>48</v>
      </c>
      <c r="R8" t="s">
        <v>49</v>
      </c>
      <c r="S8">
        <v>0</v>
      </c>
    </row>
    <row r="9" spans="1:19" hidden="1" x14ac:dyDescent="0.25">
      <c r="A9" t="s">
        <v>66</v>
      </c>
      <c r="B9" t="s">
        <v>67</v>
      </c>
      <c r="C9" s="1">
        <v>46027</v>
      </c>
      <c r="D9" t="s">
        <v>68</v>
      </c>
      <c r="E9" t="s">
        <v>23</v>
      </c>
      <c r="F9" t="s">
        <v>24</v>
      </c>
      <c r="G9" t="s">
        <v>25</v>
      </c>
      <c r="I9" t="s">
        <v>26</v>
      </c>
      <c r="J9" t="s">
        <v>27</v>
      </c>
      <c r="K9" t="s">
        <v>28</v>
      </c>
      <c r="L9" t="s">
        <v>29</v>
      </c>
      <c r="M9">
        <v>4700</v>
      </c>
      <c r="N9">
        <v>22520</v>
      </c>
      <c r="O9">
        <v>17820</v>
      </c>
      <c r="P9">
        <v>0</v>
      </c>
      <c r="S9">
        <v>0</v>
      </c>
    </row>
    <row r="10" spans="1:19" hidden="1" x14ac:dyDescent="0.25">
      <c r="A10" t="s">
        <v>69</v>
      </c>
      <c r="B10" t="s">
        <v>70</v>
      </c>
      <c r="C10" s="1">
        <v>46027</v>
      </c>
      <c r="D10" t="s">
        <v>71</v>
      </c>
      <c r="E10" t="s">
        <v>23</v>
      </c>
      <c r="F10" t="s">
        <v>24</v>
      </c>
      <c r="G10" t="s">
        <v>25</v>
      </c>
      <c r="I10" t="s">
        <v>72</v>
      </c>
      <c r="J10" t="s">
        <v>73</v>
      </c>
      <c r="K10" t="s">
        <v>28</v>
      </c>
      <c r="L10" t="s">
        <v>29</v>
      </c>
      <c r="M10">
        <v>1060</v>
      </c>
      <c r="N10">
        <v>15920</v>
      </c>
      <c r="O10">
        <v>14860</v>
      </c>
      <c r="P10">
        <v>0</v>
      </c>
      <c r="Q10" t="s">
        <v>48</v>
      </c>
      <c r="R10" t="s">
        <v>49</v>
      </c>
      <c r="S10">
        <v>0</v>
      </c>
    </row>
    <row r="11" spans="1:19" hidden="1" x14ac:dyDescent="0.25">
      <c r="A11" t="s">
        <v>74</v>
      </c>
      <c r="B11" t="s">
        <v>75</v>
      </c>
      <c r="C11" s="1">
        <v>46027</v>
      </c>
      <c r="D11" t="s">
        <v>76</v>
      </c>
      <c r="E11" t="s">
        <v>34</v>
      </c>
      <c r="F11" t="s">
        <v>77</v>
      </c>
      <c r="G11" t="s">
        <v>78</v>
      </c>
      <c r="H11" t="s">
        <v>37</v>
      </c>
      <c r="I11" t="s">
        <v>38</v>
      </c>
      <c r="J11" t="s">
        <v>30</v>
      </c>
      <c r="K11" t="s">
        <v>39</v>
      </c>
      <c r="L11" t="s">
        <v>40</v>
      </c>
      <c r="M11">
        <v>140</v>
      </c>
      <c r="N11">
        <v>3020</v>
      </c>
      <c r="O11">
        <v>2880</v>
      </c>
      <c r="P11">
        <v>0</v>
      </c>
      <c r="S11">
        <v>0</v>
      </c>
    </row>
    <row r="12" spans="1:19" hidden="1" x14ac:dyDescent="0.25">
      <c r="A12" t="s">
        <v>79</v>
      </c>
      <c r="C12" s="1">
        <v>46027</v>
      </c>
      <c r="D12" t="s">
        <v>76</v>
      </c>
      <c r="E12" t="s">
        <v>80</v>
      </c>
      <c r="F12" t="s">
        <v>77</v>
      </c>
      <c r="G12" t="s">
        <v>78</v>
      </c>
      <c r="H12" t="s">
        <v>81</v>
      </c>
      <c r="I12" t="s">
        <v>82</v>
      </c>
      <c r="J12" t="s">
        <v>83</v>
      </c>
      <c r="K12" t="s">
        <v>28</v>
      </c>
      <c r="L12" t="s">
        <v>29</v>
      </c>
      <c r="M12">
        <v>80</v>
      </c>
      <c r="N12">
        <v>2840</v>
      </c>
      <c r="O12">
        <v>2760</v>
      </c>
      <c r="P12">
        <v>0</v>
      </c>
      <c r="S12">
        <v>0</v>
      </c>
    </row>
    <row r="13" spans="1:19" hidden="1" x14ac:dyDescent="0.25">
      <c r="A13" t="s">
        <v>84</v>
      </c>
      <c r="B13" t="s">
        <v>85</v>
      </c>
      <c r="C13" s="1">
        <v>46027</v>
      </c>
      <c r="D13" t="s">
        <v>86</v>
      </c>
      <c r="E13" t="s">
        <v>80</v>
      </c>
      <c r="F13" t="s">
        <v>77</v>
      </c>
      <c r="G13" t="s">
        <v>78</v>
      </c>
      <c r="H13" t="s">
        <v>81</v>
      </c>
      <c r="I13" t="s">
        <v>82</v>
      </c>
      <c r="J13" t="s">
        <v>83</v>
      </c>
      <c r="K13" t="s">
        <v>28</v>
      </c>
      <c r="L13" t="s">
        <v>29</v>
      </c>
      <c r="M13">
        <v>920</v>
      </c>
      <c r="N13">
        <v>15060</v>
      </c>
      <c r="O13">
        <v>14140</v>
      </c>
      <c r="P13">
        <v>0</v>
      </c>
      <c r="Q13" t="s">
        <v>48</v>
      </c>
      <c r="R13" t="s">
        <v>49</v>
      </c>
      <c r="S13">
        <v>0</v>
      </c>
    </row>
    <row r="14" spans="1:19" hidden="1" x14ac:dyDescent="0.25">
      <c r="A14" t="s">
        <v>87</v>
      </c>
      <c r="C14" s="1">
        <v>46028</v>
      </c>
      <c r="D14" t="s">
        <v>68</v>
      </c>
      <c r="E14" t="s">
        <v>23</v>
      </c>
      <c r="F14" t="s">
        <v>24</v>
      </c>
      <c r="G14" t="s">
        <v>25</v>
      </c>
      <c r="I14" t="s">
        <v>26</v>
      </c>
      <c r="J14" t="s">
        <v>27</v>
      </c>
      <c r="K14" t="s">
        <v>28</v>
      </c>
      <c r="L14" t="s">
        <v>29</v>
      </c>
      <c r="M14">
        <v>4160</v>
      </c>
      <c r="N14">
        <v>22060</v>
      </c>
      <c r="O14">
        <v>17900</v>
      </c>
      <c r="P14">
        <v>0</v>
      </c>
      <c r="S14">
        <v>0</v>
      </c>
    </row>
    <row r="15" spans="1:19" x14ac:dyDescent="0.25">
      <c r="A15" t="s">
        <v>899</v>
      </c>
      <c r="C15" s="1">
        <v>46032</v>
      </c>
      <c r="D15" t="s">
        <v>621</v>
      </c>
      <c r="E15" t="s">
        <v>91</v>
      </c>
      <c r="F15" t="s">
        <v>92</v>
      </c>
      <c r="G15" t="s">
        <v>93</v>
      </c>
      <c r="H15" t="s">
        <v>900</v>
      </c>
      <c r="I15" t="s">
        <v>901</v>
      </c>
      <c r="J15" t="s">
        <v>902</v>
      </c>
      <c r="K15" t="s">
        <v>28</v>
      </c>
      <c r="L15" t="s">
        <v>29</v>
      </c>
      <c r="M15">
        <v>13160</v>
      </c>
      <c r="N15">
        <v>26340</v>
      </c>
      <c r="O15">
        <v>13180</v>
      </c>
      <c r="P15">
        <v>0</v>
      </c>
      <c r="S15">
        <v>0</v>
      </c>
    </row>
    <row r="16" spans="1:19" hidden="1" x14ac:dyDescent="0.25">
      <c r="A16" t="s">
        <v>102</v>
      </c>
      <c r="B16" t="s">
        <v>103</v>
      </c>
      <c r="C16" s="1">
        <v>46028</v>
      </c>
      <c r="D16" t="s">
        <v>76</v>
      </c>
      <c r="E16" t="s">
        <v>80</v>
      </c>
      <c r="F16" t="s">
        <v>77</v>
      </c>
      <c r="G16" t="s">
        <v>78</v>
      </c>
      <c r="H16" t="s">
        <v>81</v>
      </c>
      <c r="I16" t="s">
        <v>82</v>
      </c>
      <c r="J16" t="s">
        <v>83</v>
      </c>
      <c r="K16" t="s">
        <v>28</v>
      </c>
      <c r="L16" t="s">
        <v>29</v>
      </c>
      <c r="M16">
        <v>80</v>
      </c>
      <c r="N16">
        <v>2820</v>
      </c>
      <c r="O16">
        <v>2740</v>
      </c>
      <c r="P16">
        <v>0</v>
      </c>
      <c r="Q16" t="s">
        <v>48</v>
      </c>
      <c r="R16" t="s">
        <v>49</v>
      </c>
      <c r="S16">
        <v>0</v>
      </c>
    </row>
    <row r="17" spans="1:19" hidden="1" x14ac:dyDescent="0.25">
      <c r="A17" t="s">
        <v>104</v>
      </c>
      <c r="C17" s="1">
        <v>46028</v>
      </c>
      <c r="D17" t="s">
        <v>76</v>
      </c>
      <c r="E17" t="s">
        <v>80</v>
      </c>
      <c r="F17" t="s">
        <v>77</v>
      </c>
      <c r="G17" t="s">
        <v>78</v>
      </c>
      <c r="H17" t="s">
        <v>81</v>
      </c>
      <c r="I17" t="s">
        <v>82</v>
      </c>
      <c r="J17" t="s">
        <v>83</v>
      </c>
      <c r="K17" t="s">
        <v>28</v>
      </c>
      <c r="L17" t="s">
        <v>29</v>
      </c>
      <c r="M17">
        <v>40</v>
      </c>
      <c r="N17">
        <v>2900</v>
      </c>
      <c r="O17">
        <v>2860</v>
      </c>
      <c r="P17">
        <v>0</v>
      </c>
      <c r="S17">
        <v>0</v>
      </c>
    </row>
    <row r="18" spans="1:19" hidden="1" x14ac:dyDescent="0.25">
      <c r="A18" t="s">
        <v>105</v>
      </c>
      <c r="C18" s="1">
        <v>46028</v>
      </c>
      <c r="D18" t="s">
        <v>76</v>
      </c>
      <c r="E18" t="s">
        <v>34</v>
      </c>
      <c r="F18" t="s">
        <v>77</v>
      </c>
      <c r="G18" t="s">
        <v>78</v>
      </c>
      <c r="H18" t="s">
        <v>37</v>
      </c>
      <c r="I18" t="s">
        <v>38</v>
      </c>
      <c r="J18" t="s">
        <v>30</v>
      </c>
      <c r="K18" t="s">
        <v>39</v>
      </c>
      <c r="L18" t="s">
        <v>40</v>
      </c>
      <c r="M18">
        <v>220</v>
      </c>
      <c r="N18">
        <v>2860</v>
      </c>
      <c r="O18">
        <v>2640</v>
      </c>
      <c r="P18">
        <v>0</v>
      </c>
      <c r="S18">
        <v>0</v>
      </c>
    </row>
    <row r="19" spans="1:19" hidden="1" x14ac:dyDescent="0.25">
      <c r="A19" t="s">
        <v>106</v>
      </c>
      <c r="C19" s="1">
        <v>46028</v>
      </c>
      <c r="D19" t="s">
        <v>107</v>
      </c>
      <c r="E19" t="s">
        <v>23</v>
      </c>
      <c r="F19" t="s">
        <v>24</v>
      </c>
      <c r="G19" t="s">
        <v>25</v>
      </c>
      <c r="I19" t="s">
        <v>26</v>
      </c>
      <c r="J19" t="s">
        <v>27</v>
      </c>
      <c r="K19" t="s">
        <v>28</v>
      </c>
      <c r="L19" t="s">
        <v>29</v>
      </c>
      <c r="M19">
        <v>4960</v>
      </c>
      <c r="N19">
        <v>22920</v>
      </c>
      <c r="O19">
        <v>17960</v>
      </c>
      <c r="P19">
        <v>0</v>
      </c>
      <c r="S19">
        <v>0</v>
      </c>
    </row>
    <row r="20" spans="1:19" hidden="1" x14ac:dyDescent="0.25">
      <c r="A20" t="s">
        <v>108</v>
      </c>
      <c r="C20" s="1">
        <v>46028</v>
      </c>
      <c r="D20" t="s">
        <v>68</v>
      </c>
      <c r="E20" t="s">
        <v>23</v>
      </c>
      <c r="F20" t="s">
        <v>24</v>
      </c>
      <c r="G20" t="s">
        <v>25</v>
      </c>
      <c r="K20" t="s">
        <v>28</v>
      </c>
      <c r="L20" t="s">
        <v>29</v>
      </c>
      <c r="M20">
        <v>0</v>
      </c>
      <c r="N20">
        <v>12000</v>
      </c>
      <c r="O20">
        <v>12000</v>
      </c>
      <c r="P20">
        <v>0</v>
      </c>
      <c r="S20">
        <v>0</v>
      </c>
    </row>
    <row r="21" spans="1:19" hidden="1" x14ac:dyDescent="0.25">
      <c r="A21" t="s">
        <v>109</v>
      </c>
      <c r="B21" t="s">
        <v>110</v>
      </c>
      <c r="C21" s="1">
        <v>46028</v>
      </c>
      <c r="D21" t="s">
        <v>45</v>
      </c>
      <c r="E21" t="s">
        <v>23</v>
      </c>
      <c r="F21" t="s">
        <v>24</v>
      </c>
      <c r="G21" t="s">
        <v>25</v>
      </c>
      <c r="I21" t="s">
        <v>112</v>
      </c>
      <c r="J21" t="s">
        <v>111</v>
      </c>
      <c r="K21" t="s">
        <v>28</v>
      </c>
      <c r="L21" t="s">
        <v>29</v>
      </c>
      <c r="M21">
        <v>1240</v>
      </c>
      <c r="N21">
        <v>15480</v>
      </c>
      <c r="O21">
        <v>14240</v>
      </c>
      <c r="P21">
        <v>0</v>
      </c>
      <c r="Q21" t="s">
        <v>48</v>
      </c>
      <c r="R21" t="s">
        <v>49</v>
      </c>
      <c r="S21">
        <v>0</v>
      </c>
    </row>
    <row r="22" spans="1:19" hidden="1" x14ac:dyDescent="0.25">
      <c r="A22" t="s">
        <v>113</v>
      </c>
      <c r="B22" t="s">
        <v>114</v>
      </c>
      <c r="C22" s="1">
        <v>46028</v>
      </c>
      <c r="D22" t="s">
        <v>45</v>
      </c>
      <c r="E22" t="s">
        <v>23</v>
      </c>
      <c r="F22" t="s">
        <v>24</v>
      </c>
      <c r="G22" t="s">
        <v>25</v>
      </c>
      <c r="I22" t="s">
        <v>115</v>
      </c>
      <c r="J22" t="s">
        <v>116</v>
      </c>
      <c r="K22" t="s">
        <v>28</v>
      </c>
      <c r="L22" t="s">
        <v>29</v>
      </c>
      <c r="M22">
        <v>540</v>
      </c>
      <c r="N22">
        <v>15140</v>
      </c>
      <c r="O22">
        <v>14600</v>
      </c>
      <c r="P22">
        <v>0</v>
      </c>
      <c r="Q22" t="s">
        <v>48</v>
      </c>
      <c r="R22" t="s">
        <v>49</v>
      </c>
      <c r="S22">
        <v>0</v>
      </c>
    </row>
    <row r="23" spans="1:19" hidden="1" x14ac:dyDescent="0.25">
      <c r="A23" t="s">
        <v>117</v>
      </c>
      <c r="B23" t="s">
        <v>118</v>
      </c>
      <c r="C23" s="1">
        <v>46029</v>
      </c>
      <c r="D23" t="s">
        <v>76</v>
      </c>
      <c r="E23" t="s">
        <v>80</v>
      </c>
      <c r="F23" t="s">
        <v>77</v>
      </c>
      <c r="G23" t="s">
        <v>78</v>
      </c>
      <c r="H23" t="s">
        <v>81</v>
      </c>
      <c r="I23" t="s">
        <v>82</v>
      </c>
      <c r="J23" t="s">
        <v>83</v>
      </c>
      <c r="K23" t="s">
        <v>28</v>
      </c>
      <c r="L23" t="s">
        <v>29</v>
      </c>
      <c r="M23">
        <v>60</v>
      </c>
      <c r="N23">
        <v>3100</v>
      </c>
      <c r="O23">
        <v>3040</v>
      </c>
      <c r="P23">
        <v>0</v>
      </c>
      <c r="Q23" t="s">
        <v>48</v>
      </c>
      <c r="R23" t="s">
        <v>49</v>
      </c>
      <c r="S23">
        <v>0</v>
      </c>
    </row>
    <row r="24" spans="1:19" hidden="1" x14ac:dyDescent="0.25">
      <c r="A24" t="s">
        <v>119</v>
      </c>
      <c r="B24" t="s">
        <v>120</v>
      </c>
      <c r="C24" s="1">
        <v>46029</v>
      </c>
      <c r="D24" t="s">
        <v>76</v>
      </c>
      <c r="E24" t="s">
        <v>80</v>
      </c>
      <c r="F24" t="s">
        <v>77</v>
      </c>
      <c r="G24" t="s">
        <v>78</v>
      </c>
      <c r="H24" t="s">
        <v>81</v>
      </c>
      <c r="I24" t="s">
        <v>82</v>
      </c>
      <c r="J24" t="s">
        <v>83</v>
      </c>
      <c r="K24" t="s">
        <v>28</v>
      </c>
      <c r="L24" t="s">
        <v>29</v>
      </c>
      <c r="M24">
        <v>80</v>
      </c>
      <c r="N24">
        <v>2880</v>
      </c>
      <c r="O24">
        <v>2800</v>
      </c>
      <c r="P24">
        <v>0</v>
      </c>
      <c r="Q24" t="s">
        <v>48</v>
      </c>
      <c r="R24" t="s">
        <v>49</v>
      </c>
      <c r="S24">
        <v>0</v>
      </c>
    </row>
    <row r="25" spans="1:19" hidden="1" x14ac:dyDescent="0.25">
      <c r="A25" t="s">
        <v>121</v>
      </c>
      <c r="B25" t="s">
        <v>122</v>
      </c>
      <c r="C25" s="1">
        <v>46029</v>
      </c>
      <c r="D25" t="s">
        <v>76</v>
      </c>
      <c r="E25" t="s">
        <v>34</v>
      </c>
      <c r="F25" t="s">
        <v>77</v>
      </c>
      <c r="G25" t="s">
        <v>78</v>
      </c>
      <c r="H25" t="s">
        <v>37</v>
      </c>
      <c r="I25" t="s">
        <v>38</v>
      </c>
      <c r="J25" t="s">
        <v>30</v>
      </c>
      <c r="K25" t="s">
        <v>39</v>
      </c>
      <c r="L25" t="s">
        <v>40</v>
      </c>
      <c r="M25">
        <v>80</v>
      </c>
      <c r="N25">
        <v>2680</v>
      </c>
      <c r="O25">
        <v>2600</v>
      </c>
      <c r="P25">
        <v>0</v>
      </c>
      <c r="S25">
        <v>0</v>
      </c>
    </row>
    <row r="26" spans="1:19" hidden="1" x14ac:dyDescent="0.25">
      <c r="A26" t="s">
        <v>123</v>
      </c>
      <c r="B26" t="s">
        <v>124</v>
      </c>
      <c r="C26" s="1">
        <v>46030</v>
      </c>
      <c r="D26" t="s">
        <v>22</v>
      </c>
      <c r="E26" t="s">
        <v>23</v>
      </c>
      <c r="F26" t="s">
        <v>24</v>
      </c>
      <c r="G26" t="s">
        <v>25</v>
      </c>
      <c r="I26" t="s">
        <v>26</v>
      </c>
      <c r="J26" t="s">
        <v>27</v>
      </c>
      <c r="K26" t="s">
        <v>28</v>
      </c>
      <c r="L26" t="s">
        <v>29</v>
      </c>
      <c r="M26">
        <v>2340</v>
      </c>
      <c r="N26">
        <v>21160</v>
      </c>
      <c r="O26">
        <v>18820</v>
      </c>
      <c r="P26">
        <v>0</v>
      </c>
      <c r="S26">
        <v>0</v>
      </c>
    </row>
    <row r="27" spans="1:19" hidden="1" x14ac:dyDescent="0.25">
      <c r="A27" t="s">
        <v>125</v>
      </c>
      <c r="B27" t="s">
        <v>126</v>
      </c>
      <c r="C27" s="1">
        <v>46030</v>
      </c>
      <c r="D27" t="s">
        <v>71</v>
      </c>
      <c r="E27" t="s">
        <v>23</v>
      </c>
      <c r="F27" t="s">
        <v>24</v>
      </c>
      <c r="G27" t="s">
        <v>25</v>
      </c>
      <c r="I27" t="s">
        <v>128</v>
      </c>
      <c r="J27" t="s">
        <v>127</v>
      </c>
      <c r="K27" t="s">
        <v>28</v>
      </c>
      <c r="L27" t="s">
        <v>29</v>
      </c>
      <c r="M27">
        <v>1760</v>
      </c>
      <c r="N27">
        <v>16260</v>
      </c>
      <c r="O27">
        <v>14500</v>
      </c>
      <c r="P27">
        <v>0</v>
      </c>
      <c r="Q27" t="s">
        <v>48</v>
      </c>
      <c r="R27" t="s">
        <v>49</v>
      </c>
      <c r="S27">
        <v>0</v>
      </c>
    </row>
    <row r="28" spans="1:19" hidden="1" x14ac:dyDescent="0.25">
      <c r="A28" t="s">
        <v>129</v>
      </c>
      <c r="B28" t="s">
        <v>130</v>
      </c>
      <c r="C28" s="1">
        <v>46030</v>
      </c>
      <c r="D28" t="s">
        <v>76</v>
      </c>
      <c r="E28" t="s">
        <v>34</v>
      </c>
      <c r="F28" t="s">
        <v>77</v>
      </c>
      <c r="G28" t="s">
        <v>78</v>
      </c>
      <c r="H28" t="s">
        <v>37</v>
      </c>
      <c r="I28" t="s">
        <v>38</v>
      </c>
      <c r="J28" t="s">
        <v>30</v>
      </c>
      <c r="K28" t="s">
        <v>39</v>
      </c>
      <c r="L28" t="s">
        <v>40</v>
      </c>
      <c r="M28">
        <v>260</v>
      </c>
      <c r="N28">
        <v>3220</v>
      </c>
      <c r="O28">
        <v>2960</v>
      </c>
      <c r="P28">
        <v>0</v>
      </c>
      <c r="S28">
        <v>0</v>
      </c>
    </row>
    <row r="29" spans="1:19" hidden="1" x14ac:dyDescent="0.25">
      <c r="A29" t="s">
        <v>131</v>
      </c>
      <c r="B29" t="s">
        <v>132</v>
      </c>
      <c r="C29" s="1">
        <v>46030</v>
      </c>
      <c r="D29" t="s">
        <v>133</v>
      </c>
      <c r="E29" t="s">
        <v>134</v>
      </c>
      <c r="F29" t="s">
        <v>92</v>
      </c>
      <c r="G29" t="s">
        <v>93</v>
      </c>
      <c r="H29" t="s">
        <v>135</v>
      </c>
      <c r="I29" t="s">
        <v>136</v>
      </c>
      <c r="J29" t="s">
        <v>137</v>
      </c>
      <c r="K29" t="s">
        <v>28</v>
      </c>
      <c r="L29" t="s">
        <v>29</v>
      </c>
      <c r="M29">
        <v>3940</v>
      </c>
      <c r="N29">
        <v>18140</v>
      </c>
      <c r="O29">
        <v>14200</v>
      </c>
      <c r="P29">
        <v>0</v>
      </c>
      <c r="Q29" t="s">
        <v>48</v>
      </c>
      <c r="R29" t="s">
        <v>49</v>
      </c>
      <c r="S29">
        <v>0</v>
      </c>
    </row>
    <row r="30" spans="1:19" hidden="1" x14ac:dyDescent="0.25">
      <c r="A30" t="s">
        <v>138</v>
      </c>
      <c r="B30" t="s">
        <v>139</v>
      </c>
      <c r="C30" s="1">
        <v>46030</v>
      </c>
      <c r="D30" t="s">
        <v>76</v>
      </c>
      <c r="E30" t="s">
        <v>34</v>
      </c>
      <c r="F30" t="s">
        <v>77</v>
      </c>
      <c r="G30" t="s">
        <v>78</v>
      </c>
      <c r="H30" t="s">
        <v>37</v>
      </c>
      <c r="I30" t="s">
        <v>38</v>
      </c>
      <c r="J30" t="s">
        <v>30</v>
      </c>
      <c r="K30" t="s">
        <v>39</v>
      </c>
      <c r="L30" t="s">
        <v>40</v>
      </c>
      <c r="M30">
        <v>320</v>
      </c>
      <c r="N30">
        <v>2900</v>
      </c>
      <c r="O30">
        <v>2580</v>
      </c>
      <c r="P30">
        <v>0</v>
      </c>
      <c r="S30">
        <v>0</v>
      </c>
    </row>
    <row r="31" spans="1:19" hidden="1" x14ac:dyDescent="0.25">
      <c r="A31" t="s">
        <v>140</v>
      </c>
      <c r="B31" t="s">
        <v>141</v>
      </c>
      <c r="C31" s="1">
        <v>46030</v>
      </c>
      <c r="D31" t="s">
        <v>142</v>
      </c>
      <c r="E31" t="s">
        <v>143</v>
      </c>
      <c r="F31" t="s">
        <v>144</v>
      </c>
      <c r="G31" t="s">
        <v>145</v>
      </c>
      <c r="H31" t="s">
        <v>146</v>
      </c>
      <c r="I31" t="s">
        <v>136</v>
      </c>
      <c r="J31" t="s">
        <v>63</v>
      </c>
      <c r="K31" t="s">
        <v>28</v>
      </c>
      <c r="L31" t="s">
        <v>29</v>
      </c>
      <c r="M31">
        <v>800</v>
      </c>
      <c r="N31">
        <v>3860</v>
      </c>
      <c r="O31">
        <v>3060</v>
      </c>
      <c r="P31">
        <v>0</v>
      </c>
      <c r="Q31" t="s">
        <v>48</v>
      </c>
      <c r="R31" t="s">
        <v>49</v>
      </c>
      <c r="S31">
        <v>0</v>
      </c>
    </row>
    <row r="32" spans="1:19" hidden="1" x14ac:dyDescent="0.25">
      <c r="A32" t="s">
        <v>147</v>
      </c>
      <c r="C32" s="1">
        <v>46030</v>
      </c>
      <c r="D32" t="s">
        <v>76</v>
      </c>
      <c r="E32" t="s">
        <v>34</v>
      </c>
      <c r="F32" t="s">
        <v>77</v>
      </c>
      <c r="G32" t="s">
        <v>78</v>
      </c>
      <c r="H32" t="s">
        <v>37</v>
      </c>
      <c r="I32" t="s">
        <v>38</v>
      </c>
      <c r="J32" t="s">
        <v>30</v>
      </c>
      <c r="K32" t="s">
        <v>39</v>
      </c>
      <c r="L32" t="s">
        <v>40</v>
      </c>
      <c r="M32">
        <v>0</v>
      </c>
      <c r="N32">
        <v>2900</v>
      </c>
      <c r="O32">
        <v>2900</v>
      </c>
      <c r="P32">
        <v>0</v>
      </c>
      <c r="S32">
        <v>0</v>
      </c>
    </row>
    <row r="33" spans="1:19" hidden="1" x14ac:dyDescent="0.25">
      <c r="A33" t="s">
        <v>148</v>
      </c>
      <c r="B33" t="s">
        <v>149</v>
      </c>
      <c r="C33" s="1">
        <v>46030</v>
      </c>
      <c r="D33" t="s">
        <v>150</v>
      </c>
      <c r="E33" t="s">
        <v>151</v>
      </c>
      <c r="F33" t="s">
        <v>153</v>
      </c>
      <c r="G33" t="s">
        <v>154</v>
      </c>
      <c r="H33" t="s">
        <v>155</v>
      </c>
      <c r="I33" t="s">
        <v>156</v>
      </c>
      <c r="J33" t="s">
        <v>152</v>
      </c>
      <c r="K33" t="s">
        <v>157</v>
      </c>
      <c r="L33" t="s">
        <v>158</v>
      </c>
      <c r="M33">
        <v>40</v>
      </c>
      <c r="N33">
        <v>9400</v>
      </c>
      <c r="O33">
        <v>9360</v>
      </c>
      <c r="P33">
        <v>0</v>
      </c>
      <c r="S33">
        <v>0</v>
      </c>
    </row>
    <row r="34" spans="1:19" hidden="1" x14ac:dyDescent="0.25">
      <c r="A34" t="s">
        <v>159</v>
      </c>
      <c r="B34" t="s">
        <v>160</v>
      </c>
      <c r="C34" s="1">
        <v>46030</v>
      </c>
      <c r="D34" t="s">
        <v>76</v>
      </c>
      <c r="E34" t="s">
        <v>34</v>
      </c>
      <c r="F34" t="s">
        <v>77</v>
      </c>
      <c r="G34" t="s">
        <v>78</v>
      </c>
      <c r="H34" t="s">
        <v>37</v>
      </c>
      <c r="I34" t="s">
        <v>38</v>
      </c>
      <c r="J34" t="s">
        <v>30</v>
      </c>
      <c r="K34" t="s">
        <v>39</v>
      </c>
      <c r="L34" t="s">
        <v>40</v>
      </c>
      <c r="M34">
        <v>80</v>
      </c>
      <c r="N34">
        <v>2760</v>
      </c>
      <c r="O34">
        <v>2680</v>
      </c>
      <c r="P34">
        <v>0</v>
      </c>
      <c r="S34">
        <v>0</v>
      </c>
    </row>
    <row r="35" spans="1:19" hidden="1" x14ac:dyDescent="0.25">
      <c r="A35" t="s">
        <v>161</v>
      </c>
      <c r="B35" t="s">
        <v>162</v>
      </c>
      <c r="C35" s="1">
        <v>46030</v>
      </c>
      <c r="D35" t="s">
        <v>22</v>
      </c>
      <c r="E35" t="s">
        <v>23</v>
      </c>
      <c r="F35" t="s">
        <v>24</v>
      </c>
      <c r="G35" t="s">
        <v>25</v>
      </c>
      <c r="I35" t="s">
        <v>26</v>
      </c>
      <c r="J35" t="s">
        <v>27</v>
      </c>
      <c r="K35" t="s">
        <v>28</v>
      </c>
      <c r="L35" t="s">
        <v>29</v>
      </c>
      <c r="M35">
        <v>3560</v>
      </c>
      <c r="N35">
        <v>22380</v>
      </c>
      <c r="O35">
        <v>18820</v>
      </c>
      <c r="P35">
        <v>0</v>
      </c>
      <c r="S35">
        <v>0</v>
      </c>
    </row>
    <row r="36" spans="1:19" hidden="1" x14ac:dyDescent="0.25">
      <c r="A36" t="s">
        <v>163</v>
      </c>
      <c r="B36" t="s">
        <v>164</v>
      </c>
      <c r="C36" s="1">
        <v>46030</v>
      </c>
      <c r="D36" t="s">
        <v>165</v>
      </c>
      <c r="E36" t="s">
        <v>166</v>
      </c>
      <c r="F36" t="s">
        <v>167</v>
      </c>
      <c r="G36" t="s">
        <v>168</v>
      </c>
      <c r="H36" t="s">
        <v>169</v>
      </c>
      <c r="I36" t="s">
        <v>170</v>
      </c>
      <c r="J36" t="s">
        <v>171</v>
      </c>
      <c r="K36" t="s">
        <v>28</v>
      </c>
      <c r="L36" t="s">
        <v>29</v>
      </c>
      <c r="M36">
        <v>140</v>
      </c>
      <c r="N36">
        <v>3060</v>
      </c>
      <c r="O36">
        <v>2920</v>
      </c>
      <c r="P36">
        <v>0</v>
      </c>
      <c r="Q36" t="s">
        <v>48</v>
      </c>
      <c r="R36" t="s">
        <v>49</v>
      </c>
      <c r="S36">
        <v>0</v>
      </c>
    </row>
    <row r="37" spans="1:19" hidden="1" x14ac:dyDescent="0.25">
      <c r="A37" t="s">
        <v>172</v>
      </c>
      <c r="B37" t="s">
        <v>173</v>
      </c>
      <c r="C37" s="1">
        <v>46030</v>
      </c>
      <c r="D37" t="s">
        <v>174</v>
      </c>
      <c r="E37" t="s">
        <v>143</v>
      </c>
      <c r="F37" t="s">
        <v>144</v>
      </c>
      <c r="G37" t="s">
        <v>145</v>
      </c>
      <c r="H37" t="s">
        <v>146</v>
      </c>
      <c r="I37" t="s">
        <v>136</v>
      </c>
      <c r="J37" t="s">
        <v>63</v>
      </c>
      <c r="K37" t="s">
        <v>28</v>
      </c>
      <c r="L37" t="s">
        <v>29</v>
      </c>
      <c r="M37">
        <v>380</v>
      </c>
      <c r="N37">
        <v>3440</v>
      </c>
      <c r="O37">
        <v>3060</v>
      </c>
      <c r="P37">
        <v>0</v>
      </c>
      <c r="Q37" t="s">
        <v>48</v>
      </c>
      <c r="R37" t="s">
        <v>49</v>
      </c>
      <c r="S37">
        <v>0</v>
      </c>
    </row>
    <row r="38" spans="1:19" hidden="1" x14ac:dyDescent="0.25">
      <c r="A38" t="s">
        <v>175</v>
      </c>
      <c r="B38" t="s">
        <v>176</v>
      </c>
      <c r="C38" s="1">
        <v>46031</v>
      </c>
      <c r="D38" t="s">
        <v>52</v>
      </c>
      <c r="E38" t="s">
        <v>23</v>
      </c>
      <c r="F38" t="s">
        <v>24</v>
      </c>
      <c r="G38" t="s">
        <v>25</v>
      </c>
      <c r="I38" t="s">
        <v>46</v>
      </c>
      <c r="J38" t="s">
        <v>47</v>
      </c>
      <c r="K38" t="s">
        <v>28</v>
      </c>
      <c r="L38" t="s">
        <v>29</v>
      </c>
      <c r="M38">
        <v>2520</v>
      </c>
      <c r="N38">
        <v>18260</v>
      </c>
      <c r="O38">
        <v>15740</v>
      </c>
      <c r="P38">
        <v>0</v>
      </c>
      <c r="Q38" t="s">
        <v>48</v>
      </c>
      <c r="R38" t="s">
        <v>49</v>
      </c>
      <c r="S38">
        <v>0</v>
      </c>
    </row>
    <row r="39" spans="1:19" hidden="1" x14ac:dyDescent="0.25">
      <c r="A39" t="s">
        <v>177</v>
      </c>
      <c r="B39" t="s">
        <v>178</v>
      </c>
      <c r="C39" s="1">
        <v>46031</v>
      </c>
      <c r="D39" t="s">
        <v>52</v>
      </c>
      <c r="E39" t="s">
        <v>23</v>
      </c>
      <c r="F39" t="s">
        <v>24</v>
      </c>
      <c r="G39" t="s">
        <v>25</v>
      </c>
      <c r="I39" t="s">
        <v>46</v>
      </c>
      <c r="J39" t="s">
        <v>47</v>
      </c>
      <c r="K39" t="s">
        <v>28</v>
      </c>
      <c r="L39" t="s">
        <v>29</v>
      </c>
      <c r="M39">
        <v>1840</v>
      </c>
      <c r="N39">
        <v>16860</v>
      </c>
      <c r="O39">
        <v>15020</v>
      </c>
      <c r="P39">
        <v>0</v>
      </c>
      <c r="Q39" t="s">
        <v>48</v>
      </c>
      <c r="R39" t="s">
        <v>49</v>
      </c>
      <c r="S39">
        <v>0</v>
      </c>
    </row>
    <row r="40" spans="1:19" hidden="1" x14ac:dyDescent="0.25">
      <c r="A40" t="s">
        <v>179</v>
      </c>
      <c r="B40" t="s">
        <v>180</v>
      </c>
      <c r="C40" s="1">
        <v>46031</v>
      </c>
      <c r="D40" t="s">
        <v>45</v>
      </c>
      <c r="E40" t="s">
        <v>23</v>
      </c>
      <c r="F40" t="s">
        <v>24</v>
      </c>
      <c r="G40" t="s">
        <v>25</v>
      </c>
      <c r="I40" t="s">
        <v>182</v>
      </c>
      <c r="J40" t="s">
        <v>181</v>
      </c>
      <c r="K40" t="s">
        <v>28</v>
      </c>
      <c r="L40" t="s">
        <v>29</v>
      </c>
      <c r="M40">
        <v>1400</v>
      </c>
      <c r="N40">
        <v>16100</v>
      </c>
      <c r="O40">
        <v>14700</v>
      </c>
      <c r="P40">
        <v>0</v>
      </c>
      <c r="Q40" t="s">
        <v>48</v>
      </c>
      <c r="R40" t="s">
        <v>49</v>
      </c>
      <c r="S40">
        <v>0</v>
      </c>
    </row>
    <row r="41" spans="1:19" hidden="1" x14ac:dyDescent="0.25">
      <c r="A41" t="s">
        <v>183</v>
      </c>
      <c r="B41" t="s">
        <v>184</v>
      </c>
      <c r="C41" s="1">
        <v>46031</v>
      </c>
      <c r="D41" t="s">
        <v>185</v>
      </c>
      <c r="E41" t="s">
        <v>23</v>
      </c>
      <c r="F41" t="s">
        <v>24</v>
      </c>
      <c r="G41" t="s">
        <v>25</v>
      </c>
      <c r="I41" t="s">
        <v>187</v>
      </c>
      <c r="J41" t="s">
        <v>186</v>
      </c>
      <c r="K41" t="s">
        <v>28</v>
      </c>
      <c r="L41" t="s">
        <v>29</v>
      </c>
      <c r="M41">
        <v>2360</v>
      </c>
      <c r="N41">
        <v>17700</v>
      </c>
      <c r="O41">
        <v>15340</v>
      </c>
      <c r="P41">
        <v>0</v>
      </c>
      <c r="Q41" t="s">
        <v>48</v>
      </c>
      <c r="R41" t="s">
        <v>49</v>
      </c>
      <c r="S41">
        <v>0</v>
      </c>
    </row>
    <row r="42" spans="1:19" hidden="1" x14ac:dyDescent="0.25">
      <c r="A42" t="s">
        <v>188</v>
      </c>
      <c r="B42" t="s">
        <v>188</v>
      </c>
      <c r="C42" s="1">
        <v>46031</v>
      </c>
      <c r="D42" t="s">
        <v>185</v>
      </c>
      <c r="E42" t="s">
        <v>23</v>
      </c>
      <c r="F42" t="s">
        <v>24</v>
      </c>
      <c r="G42" t="s">
        <v>25</v>
      </c>
      <c r="I42" t="s">
        <v>189</v>
      </c>
      <c r="J42" t="s">
        <v>190</v>
      </c>
      <c r="K42" t="s">
        <v>28</v>
      </c>
      <c r="L42" t="s">
        <v>29</v>
      </c>
      <c r="M42">
        <v>1200</v>
      </c>
      <c r="N42">
        <v>15500</v>
      </c>
      <c r="O42">
        <v>14300</v>
      </c>
      <c r="P42">
        <v>0</v>
      </c>
      <c r="S42">
        <v>0</v>
      </c>
    </row>
    <row r="43" spans="1:19" x14ac:dyDescent="0.25">
      <c r="C43" s="1"/>
      <c r="M43" s="2">
        <f>SUBTOTAL(9,M2:M42)</f>
        <v>13160</v>
      </c>
    </row>
    <row r="44" spans="1:19" x14ac:dyDescent="0.25">
      <c r="A44" t="s">
        <v>640</v>
      </c>
      <c r="B44" t="s">
        <v>641</v>
      </c>
      <c r="C44" s="1">
        <v>46030</v>
      </c>
      <c r="D44" t="s">
        <v>192</v>
      </c>
      <c r="E44" t="s">
        <v>91</v>
      </c>
      <c r="F44" t="s">
        <v>92</v>
      </c>
      <c r="G44" t="s">
        <v>93</v>
      </c>
      <c r="H44" t="s">
        <v>642</v>
      </c>
      <c r="I44" t="s">
        <v>643</v>
      </c>
      <c r="J44" t="s">
        <v>644</v>
      </c>
      <c r="K44" t="s">
        <v>28</v>
      </c>
      <c r="L44" t="s">
        <v>29</v>
      </c>
      <c r="M44">
        <v>1080</v>
      </c>
      <c r="N44">
        <v>16640</v>
      </c>
      <c r="O44">
        <v>15560</v>
      </c>
      <c r="P44">
        <v>0</v>
      </c>
      <c r="Q44" t="s">
        <v>48</v>
      </c>
      <c r="R44" t="s">
        <v>49</v>
      </c>
      <c r="S44">
        <v>0</v>
      </c>
    </row>
    <row r="45" spans="1:19" x14ac:dyDescent="0.25">
      <c r="A45" t="s">
        <v>661</v>
      </c>
      <c r="B45" t="s">
        <v>662</v>
      </c>
      <c r="C45" s="1">
        <v>46030</v>
      </c>
      <c r="D45" t="s">
        <v>192</v>
      </c>
      <c r="E45" t="s">
        <v>91</v>
      </c>
      <c r="F45" t="s">
        <v>92</v>
      </c>
      <c r="G45" t="s">
        <v>93</v>
      </c>
      <c r="H45" t="s">
        <v>642</v>
      </c>
      <c r="I45" t="s">
        <v>643</v>
      </c>
      <c r="J45" t="s">
        <v>644</v>
      </c>
      <c r="K45" t="s">
        <v>28</v>
      </c>
      <c r="L45" t="s">
        <v>29</v>
      </c>
      <c r="M45">
        <v>1300</v>
      </c>
      <c r="N45">
        <v>14480</v>
      </c>
      <c r="O45">
        <v>13180</v>
      </c>
      <c r="P45">
        <v>0</v>
      </c>
      <c r="Q45" t="s">
        <v>48</v>
      </c>
      <c r="R45" t="s">
        <v>49</v>
      </c>
      <c r="S45">
        <v>0</v>
      </c>
    </row>
    <row r="46" spans="1:19" x14ac:dyDescent="0.25">
      <c r="C46" s="1"/>
      <c r="M46" s="2">
        <f>SUBTOTAL(9,M44:M45)</f>
        <v>2380</v>
      </c>
    </row>
    <row r="47" spans="1:19" x14ac:dyDescent="0.25">
      <c r="A47" t="s">
        <v>790</v>
      </c>
      <c r="B47" t="s">
        <v>791</v>
      </c>
      <c r="C47" s="1">
        <v>46031</v>
      </c>
      <c r="D47" t="s">
        <v>503</v>
      </c>
      <c r="E47" t="s">
        <v>91</v>
      </c>
      <c r="F47" t="s">
        <v>92</v>
      </c>
      <c r="G47" t="s">
        <v>93</v>
      </c>
      <c r="H47" t="s">
        <v>792</v>
      </c>
      <c r="I47" t="s">
        <v>793</v>
      </c>
      <c r="J47" t="s">
        <v>794</v>
      </c>
      <c r="K47" t="s">
        <v>28</v>
      </c>
      <c r="L47" t="s">
        <v>29</v>
      </c>
      <c r="M47">
        <v>3400</v>
      </c>
      <c r="N47">
        <v>16640</v>
      </c>
      <c r="O47">
        <v>13240</v>
      </c>
      <c r="P47">
        <v>0</v>
      </c>
      <c r="S47">
        <v>0</v>
      </c>
    </row>
    <row r="48" spans="1:19" hidden="1" x14ac:dyDescent="0.25">
      <c r="A48" t="s">
        <v>204</v>
      </c>
      <c r="B48" t="s">
        <v>205</v>
      </c>
      <c r="C48" s="1">
        <v>46024</v>
      </c>
      <c r="D48" t="s">
        <v>71</v>
      </c>
      <c r="E48" t="s">
        <v>23</v>
      </c>
      <c r="F48" t="s">
        <v>24</v>
      </c>
      <c r="G48" t="s">
        <v>25</v>
      </c>
      <c r="I48" t="s">
        <v>206</v>
      </c>
      <c r="J48" t="s">
        <v>207</v>
      </c>
      <c r="K48" t="s">
        <v>28</v>
      </c>
      <c r="L48" t="s">
        <v>29</v>
      </c>
      <c r="M48">
        <v>5760</v>
      </c>
      <c r="N48">
        <v>23640</v>
      </c>
      <c r="O48">
        <v>17880</v>
      </c>
      <c r="P48">
        <v>0</v>
      </c>
      <c r="S48">
        <v>0</v>
      </c>
    </row>
    <row r="49" spans="1:19" hidden="1" x14ac:dyDescent="0.25">
      <c r="A49" t="s">
        <v>208</v>
      </c>
      <c r="B49" t="s">
        <v>209</v>
      </c>
      <c r="C49" s="1">
        <v>46024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62</v>
      </c>
      <c r="J49" t="s">
        <v>137</v>
      </c>
      <c r="K49" t="s">
        <v>215</v>
      </c>
      <c r="L49" t="s">
        <v>216</v>
      </c>
      <c r="M49">
        <v>1380</v>
      </c>
      <c r="N49">
        <v>14220</v>
      </c>
      <c r="O49">
        <v>12840</v>
      </c>
      <c r="P49">
        <v>0</v>
      </c>
      <c r="S49">
        <v>0</v>
      </c>
    </row>
    <row r="50" spans="1:19" hidden="1" x14ac:dyDescent="0.25">
      <c r="A50" t="s">
        <v>217</v>
      </c>
      <c r="B50" t="s">
        <v>218</v>
      </c>
      <c r="C50" s="1">
        <v>46024</v>
      </c>
      <c r="D50" t="s">
        <v>219</v>
      </c>
      <c r="E50" t="s">
        <v>220</v>
      </c>
      <c r="F50" t="s">
        <v>221</v>
      </c>
      <c r="G50" t="s">
        <v>221</v>
      </c>
      <c r="H50" t="s">
        <v>222</v>
      </c>
      <c r="I50" t="s">
        <v>19</v>
      </c>
      <c r="J50" t="s">
        <v>223</v>
      </c>
      <c r="K50" t="s">
        <v>28</v>
      </c>
      <c r="L50" t="s">
        <v>29</v>
      </c>
      <c r="M50">
        <v>18120</v>
      </c>
      <c r="N50">
        <v>36460</v>
      </c>
      <c r="O50">
        <v>18340</v>
      </c>
      <c r="P50">
        <v>0</v>
      </c>
      <c r="S50">
        <v>0</v>
      </c>
    </row>
    <row r="51" spans="1:19" hidden="1" x14ac:dyDescent="0.25">
      <c r="A51" t="s">
        <v>224</v>
      </c>
      <c r="B51" t="s">
        <v>225</v>
      </c>
      <c r="C51" s="1">
        <v>46024</v>
      </c>
      <c r="D51" t="s">
        <v>22</v>
      </c>
      <c r="E51" t="s">
        <v>23</v>
      </c>
      <c r="F51" t="s">
        <v>24</v>
      </c>
      <c r="G51" t="s">
        <v>25</v>
      </c>
      <c r="I51" t="s">
        <v>226</v>
      </c>
      <c r="J51" t="s">
        <v>227</v>
      </c>
      <c r="K51" t="s">
        <v>196</v>
      </c>
      <c r="L51" t="s">
        <v>197</v>
      </c>
      <c r="M51">
        <v>1009</v>
      </c>
      <c r="N51">
        <v>19809</v>
      </c>
      <c r="O51">
        <v>18800</v>
      </c>
      <c r="P51">
        <v>0</v>
      </c>
      <c r="S51">
        <v>151</v>
      </c>
    </row>
    <row r="52" spans="1:19" hidden="1" x14ac:dyDescent="0.25">
      <c r="A52" t="s">
        <v>228</v>
      </c>
      <c r="B52" t="s">
        <v>229</v>
      </c>
      <c r="C52" s="1">
        <v>46024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62</v>
      </c>
      <c r="J52" t="s">
        <v>137</v>
      </c>
      <c r="K52" t="s">
        <v>215</v>
      </c>
      <c r="L52" t="s">
        <v>216</v>
      </c>
      <c r="M52">
        <v>2020</v>
      </c>
      <c r="N52">
        <v>16140</v>
      </c>
      <c r="O52">
        <v>14120</v>
      </c>
      <c r="P52">
        <v>0</v>
      </c>
      <c r="S52">
        <v>0</v>
      </c>
    </row>
    <row r="53" spans="1:19" hidden="1" x14ac:dyDescent="0.25">
      <c r="A53" t="s">
        <v>230</v>
      </c>
      <c r="B53" t="s">
        <v>231</v>
      </c>
      <c r="C53" s="1">
        <v>46024</v>
      </c>
      <c r="D53" t="s">
        <v>71</v>
      </c>
      <c r="E53" t="s">
        <v>23</v>
      </c>
      <c r="F53" t="s">
        <v>24</v>
      </c>
      <c r="G53" t="s">
        <v>25</v>
      </c>
      <c r="I53" t="s">
        <v>232</v>
      </c>
      <c r="J53" t="s">
        <v>233</v>
      </c>
      <c r="K53" t="s">
        <v>234</v>
      </c>
      <c r="L53" t="s">
        <v>235</v>
      </c>
      <c r="M53">
        <v>10320</v>
      </c>
      <c r="N53">
        <v>24480</v>
      </c>
      <c r="O53">
        <v>14160</v>
      </c>
      <c r="P53">
        <v>0</v>
      </c>
      <c r="Q53" t="s">
        <v>99</v>
      </c>
      <c r="R53" t="s">
        <v>100</v>
      </c>
      <c r="S53">
        <v>0</v>
      </c>
    </row>
    <row r="54" spans="1:19" hidden="1" x14ac:dyDescent="0.25">
      <c r="A54" t="s">
        <v>236</v>
      </c>
      <c r="C54" s="1">
        <v>46024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  <c r="I54" t="s">
        <v>242</v>
      </c>
      <c r="J54" t="s">
        <v>243</v>
      </c>
      <c r="K54" t="s">
        <v>215</v>
      </c>
      <c r="L54" t="s">
        <v>216</v>
      </c>
      <c r="M54">
        <v>5960</v>
      </c>
      <c r="N54">
        <v>21240</v>
      </c>
      <c r="O54">
        <v>15280</v>
      </c>
      <c r="P54">
        <v>0</v>
      </c>
      <c r="S54">
        <v>0</v>
      </c>
    </row>
    <row r="55" spans="1:19" hidden="1" x14ac:dyDescent="0.25">
      <c r="A55" t="s">
        <v>244</v>
      </c>
      <c r="C55" s="1">
        <v>46024</v>
      </c>
      <c r="D55" t="s">
        <v>245</v>
      </c>
      <c r="E55" t="s">
        <v>238</v>
      </c>
      <c r="F55" t="s">
        <v>246</v>
      </c>
      <c r="G55" t="s">
        <v>247</v>
      </c>
      <c r="H55" t="s">
        <v>248</v>
      </c>
      <c r="I55" t="s">
        <v>249</v>
      </c>
      <c r="J55" t="s">
        <v>250</v>
      </c>
      <c r="K55" t="s">
        <v>215</v>
      </c>
      <c r="L55" t="s">
        <v>216</v>
      </c>
      <c r="M55">
        <v>1720</v>
      </c>
      <c r="N55">
        <v>16840</v>
      </c>
      <c r="O55">
        <v>15120</v>
      </c>
      <c r="P55">
        <v>0</v>
      </c>
      <c r="S55">
        <v>0</v>
      </c>
    </row>
    <row r="56" spans="1:19" hidden="1" x14ac:dyDescent="0.25">
      <c r="A56" t="s">
        <v>251</v>
      </c>
      <c r="B56" t="s">
        <v>252</v>
      </c>
      <c r="C56" s="1">
        <v>46024</v>
      </c>
      <c r="D56" t="s">
        <v>253</v>
      </c>
      <c r="E56" t="s">
        <v>238</v>
      </c>
      <c r="F56" t="s">
        <v>239</v>
      </c>
      <c r="G56" t="s">
        <v>240</v>
      </c>
      <c r="H56" t="s">
        <v>241</v>
      </c>
      <c r="I56" t="s">
        <v>242</v>
      </c>
      <c r="J56" t="s">
        <v>243</v>
      </c>
      <c r="K56" t="s">
        <v>215</v>
      </c>
      <c r="L56" t="s">
        <v>216</v>
      </c>
      <c r="M56">
        <v>6360</v>
      </c>
      <c r="N56">
        <v>20880</v>
      </c>
      <c r="O56">
        <v>14520</v>
      </c>
      <c r="P56">
        <v>0</v>
      </c>
      <c r="Q56" t="s">
        <v>48</v>
      </c>
      <c r="R56" t="s">
        <v>49</v>
      </c>
      <c r="S56">
        <v>0</v>
      </c>
    </row>
    <row r="57" spans="1:19" x14ac:dyDescent="0.25">
      <c r="C57" s="1"/>
      <c r="M57" s="2">
        <f>SUBTOTAL(9,M47:M56)</f>
        <v>3400</v>
      </c>
    </row>
    <row r="58" spans="1:19" x14ac:dyDescent="0.25">
      <c r="A58" t="s">
        <v>635</v>
      </c>
      <c r="B58" t="s">
        <v>636</v>
      </c>
      <c r="C58" s="1">
        <v>46030</v>
      </c>
      <c r="D58" t="s">
        <v>90</v>
      </c>
      <c r="E58" t="s">
        <v>91</v>
      </c>
      <c r="F58" t="s">
        <v>92</v>
      </c>
      <c r="G58" t="s">
        <v>93</v>
      </c>
      <c r="H58" t="s">
        <v>637</v>
      </c>
      <c r="I58" t="s">
        <v>638</v>
      </c>
      <c r="J58" t="s">
        <v>639</v>
      </c>
      <c r="K58" t="s">
        <v>28</v>
      </c>
      <c r="L58" t="s">
        <v>29</v>
      </c>
      <c r="M58">
        <v>11420</v>
      </c>
      <c r="N58">
        <v>25100</v>
      </c>
      <c r="O58">
        <v>13680</v>
      </c>
      <c r="P58">
        <v>0</v>
      </c>
      <c r="Q58" t="s">
        <v>48</v>
      </c>
      <c r="R58" t="s">
        <v>49</v>
      </c>
      <c r="S58">
        <v>0</v>
      </c>
    </row>
    <row r="59" spans="1:19" hidden="1" x14ac:dyDescent="0.25">
      <c r="A59" t="s">
        <v>260</v>
      </c>
      <c r="B59" t="s">
        <v>261</v>
      </c>
      <c r="C59" s="1">
        <v>46024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62</v>
      </c>
      <c r="J59" t="s">
        <v>137</v>
      </c>
      <c r="K59" t="s">
        <v>215</v>
      </c>
      <c r="L59" t="s">
        <v>216</v>
      </c>
      <c r="M59">
        <v>3660</v>
      </c>
      <c r="N59">
        <v>17480</v>
      </c>
      <c r="O59">
        <v>13820</v>
      </c>
      <c r="P59">
        <v>0</v>
      </c>
      <c r="S59">
        <v>0</v>
      </c>
    </row>
    <row r="60" spans="1:19" x14ac:dyDescent="0.25">
      <c r="C60" s="1"/>
      <c r="M60" s="2">
        <f>SUBTOTAL(9,M58:M59)</f>
        <v>11420</v>
      </c>
    </row>
    <row r="61" spans="1:19" x14ac:dyDescent="0.25">
      <c r="A61" t="s">
        <v>739</v>
      </c>
      <c r="C61" s="1">
        <v>46030</v>
      </c>
      <c r="D61" t="s">
        <v>335</v>
      </c>
      <c r="E61" t="s">
        <v>91</v>
      </c>
      <c r="F61" t="s">
        <v>92</v>
      </c>
      <c r="G61" t="s">
        <v>93</v>
      </c>
      <c r="H61" t="s">
        <v>740</v>
      </c>
      <c r="I61" t="s">
        <v>741</v>
      </c>
      <c r="J61" t="s">
        <v>742</v>
      </c>
      <c r="K61" t="s">
        <v>28</v>
      </c>
      <c r="L61" t="s">
        <v>29</v>
      </c>
      <c r="M61">
        <v>1240</v>
      </c>
      <c r="N61">
        <v>16180</v>
      </c>
      <c r="O61">
        <v>14940</v>
      </c>
      <c r="P61">
        <v>0</v>
      </c>
      <c r="S61">
        <v>0</v>
      </c>
    </row>
    <row r="62" spans="1:19" hidden="1" x14ac:dyDescent="0.25">
      <c r="A62" t="s">
        <v>267</v>
      </c>
      <c r="B62" t="s">
        <v>268</v>
      </c>
      <c r="C62" s="1">
        <v>46024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62</v>
      </c>
      <c r="J62" t="s">
        <v>137</v>
      </c>
      <c r="K62" t="s">
        <v>215</v>
      </c>
      <c r="L62" t="s">
        <v>216</v>
      </c>
      <c r="M62">
        <v>2940</v>
      </c>
      <c r="N62">
        <v>16780</v>
      </c>
      <c r="O62">
        <v>13840</v>
      </c>
      <c r="P62">
        <v>0</v>
      </c>
      <c r="S62">
        <v>0</v>
      </c>
    </row>
    <row r="63" spans="1:19" x14ac:dyDescent="0.25">
      <c r="C63" s="1"/>
      <c r="M63" s="2">
        <f>SUBTOTAL(9,M61:M62)</f>
        <v>1240</v>
      </c>
    </row>
    <row r="64" spans="1:19" x14ac:dyDescent="0.25">
      <c r="A64" t="s">
        <v>254</v>
      </c>
      <c r="B64" t="s">
        <v>255</v>
      </c>
      <c r="C64" s="1">
        <v>46024</v>
      </c>
      <c r="D64" t="s">
        <v>256</v>
      </c>
      <c r="E64" t="s">
        <v>91</v>
      </c>
      <c r="F64" t="s">
        <v>92</v>
      </c>
      <c r="G64" t="s">
        <v>93</v>
      </c>
      <c r="H64" t="s">
        <v>257</v>
      </c>
      <c r="I64" t="s">
        <v>258</v>
      </c>
      <c r="J64" t="s">
        <v>259</v>
      </c>
      <c r="K64" t="s">
        <v>28</v>
      </c>
      <c r="L64" t="s">
        <v>29</v>
      </c>
      <c r="M64">
        <v>380</v>
      </c>
      <c r="N64">
        <v>13620</v>
      </c>
      <c r="O64">
        <v>13240</v>
      </c>
      <c r="P64">
        <v>0</v>
      </c>
      <c r="Q64" t="s">
        <v>48</v>
      </c>
      <c r="R64" t="s">
        <v>49</v>
      </c>
      <c r="S64">
        <v>0</v>
      </c>
    </row>
    <row r="65" spans="1:19" hidden="1" x14ac:dyDescent="0.25">
      <c r="A65" t="s">
        <v>272</v>
      </c>
      <c r="B65" t="s">
        <v>273</v>
      </c>
      <c r="C65" s="1">
        <v>46024</v>
      </c>
      <c r="D65" t="s">
        <v>52</v>
      </c>
      <c r="E65" t="s">
        <v>23</v>
      </c>
      <c r="F65" t="s">
        <v>24</v>
      </c>
      <c r="G65" t="s">
        <v>25</v>
      </c>
      <c r="I65" t="s">
        <v>274</v>
      </c>
      <c r="J65" t="s">
        <v>275</v>
      </c>
      <c r="K65" t="s">
        <v>276</v>
      </c>
      <c r="L65" t="s">
        <v>277</v>
      </c>
      <c r="M65">
        <v>2040</v>
      </c>
      <c r="N65">
        <v>19320</v>
      </c>
      <c r="O65">
        <v>17280</v>
      </c>
      <c r="P65">
        <v>0</v>
      </c>
      <c r="S65">
        <v>0</v>
      </c>
    </row>
    <row r="66" spans="1:19" hidden="1" x14ac:dyDescent="0.25">
      <c r="A66" t="s">
        <v>278</v>
      </c>
      <c r="B66" t="s">
        <v>279</v>
      </c>
      <c r="C66" s="1">
        <v>46024</v>
      </c>
      <c r="D66" t="s">
        <v>219</v>
      </c>
      <c r="E66" t="s">
        <v>220</v>
      </c>
      <c r="F66" t="s">
        <v>221</v>
      </c>
      <c r="G66" t="s">
        <v>221</v>
      </c>
      <c r="H66" t="s">
        <v>222</v>
      </c>
      <c r="I66" t="s">
        <v>19</v>
      </c>
      <c r="J66" t="s">
        <v>223</v>
      </c>
      <c r="K66" t="s">
        <v>28</v>
      </c>
      <c r="L66" t="s">
        <v>29</v>
      </c>
      <c r="M66">
        <v>17580</v>
      </c>
      <c r="N66">
        <v>35700</v>
      </c>
      <c r="O66">
        <v>18120</v>
      </c>
      <c r="P66">
        <v>0</v>
      </c>
      <c r="S66">
        <v>0</v>
      </c>
    </row>
    <row r="67" spans="1:19" hidden="1" x14ac:dyDescent="0.25">
      <c r="A67" t="s">
        <v>280</v>
      </c>
      <c r="B67" t="s">
        <v>281</v>
      </c>
      <c r="C67" s="1">
        <v>46024</v>
      </c>
      <c r="D67" t="s">
        <v>71</v>
      </c>
      <c r="E67" t="s">
        <v>23</v>
      </c>
      <c r="F67" t="s">
        <v>24</v>
      </c>
      <c r="G67" t="s">
        <v>25</v>
      </c>
      <c r="I67" t="s">
        <v>282</v>
      </c>
      <c r="J67" t="s">
        <v>283</v>
      </c>
      <c r="K67" t="s">
        <v>284</v>
      </c>
      <c r="L67" t="s">
        <v>285</v>
      </c>
      <c r="M67">
        <v>3560</v>
      </c>
      <c r="N67">
        <v>18420</v>
      </c>
      <c r="O67">
        <v>14860</v>
      </c>
      <c r="P67">
        <v>100</v>
      </c>
      <c r="Q67" t="s">
        <v>99</v>
      </c>
      <c r="R67" t="s">
        <v>100</v>
      </c>
      <c r="S67">
        <v>0</v>
      </c>
    </row>
    <row r="68" spans="1:19" hidden="1" x14ac:dyDescent="0.25">
      <c r="A68" t="s">
        <v>286</v>
      </c>
      <c r="B68" t="s">
        <v>287</v>
      </c>
      <c r="C68" s="1">
        <v>46024</v>
      </c>
      <c r="D68" t="s">
        <v>52</v>
      </c>
      <c r="E68" t="s">
        <v>23</v>
      </c>
      <c r="F68" t="s">
        <v>24</v>
      </c>
      <c r="G68" t="s">
        <v>25</v>
      </c>
      <c r="I68" t="s">
        <v>274</v>
      </c>
      <c r="J68" t="s">
        <v>275</v>
      </c>
      <c r="K68" t="s">
        <v>196</v>
      </c>
      <c r="L68" t="s">
        <v>197</v>
      </c>
      <c r="M68">
        <v>1670</v>
      </c>
      <c r="N68">
        <v>17790</v>
      </c>
      <c r="O68">
        <v>16120</v>
      </c>
      <c r="P68">
        <v>0</v>
      </c>
      <c r="Q68" t="s">
        <v>99</v>
      </c>
      <c r="R68" t="s">
        <v>100</v>
      </c>
      <c r="S68">
        <v>250</v>
      </c>
    </row>
    <row r="69" spans="1:19" hidden="1" x14ac:dyDescent="0.25">
      <c r="A69" t="s">
        <v>288</v>
      </c>
      <c r="B69" t="s">
        <v>289</v>
      </c>
      <c r="C69" s="1">
        <v>46024</v>
      </c>
      <c r="D69" t="s">
        <v>237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  <c r="J69" t="s">
        <v>243</v>
      </c>
      <c r="K69" t="s">
        <v>215</v>
      </c>
      <c r="L69" t="s">
        <v>216</v>
      </c>
      <c r="M69">
        <v>3800</v>
      </c>
      <c r="N69">
        <v>19000</v>
      </c>
      <c r="O69">
        <v>15200</v>
      </c>
      <c r="P69">
        <v>0</v>
      </c>
      <c r="Q69" t="s">
        <v>48</v>
      </c>
      <c r="R69" t="s">
        <v>49</v>
      </c>
      <c r="S69">
        <v>0</v>
      </c>
    </row>
    <row r="70" spans="1:19" hidden="1" x14ac:dyDescent="0.25">
      <c r="A70" t="s">
        <v>290</v>
      </c>
      <c r="B70" t="s">
        <v>291</v>
      </c>
      <c r="C70" s="1">
        <v>46024</v>
      </c>
      <c r="D70" t="s">
        <v>71</v>
      </c>
      <c r="E70" t="s">
        <v>23</v>
      </c>
      <c r="F70" t="s">
        <v>24</v>
      </c>
      <c r="G70" t="s">
        <v>25</v>
      </c>
      <c r="I70" t="s">
        <v>292</v>
      </c>
      <c r="J70" t="s">
        <v>293</v>
      </c>
      <c r="K70" t="s">
        <v>196</v>
      </c>
      <c r="L70" t="s">
        <v>197</v>
      </c>
      <c r="M70">
        <v>414</v>
      </c>
      <c r="N70">
        <v>14614</v>
      </c>
      <c r="O70">
        <v>14200</v>
      </c>
      <c r="P70">
        <v>0</v>
      </c>
      <c r="Q70" t="s">
        <v>99</v>
      </c>
      <c r="R70" t="s">
        <v>100</v>
      </c>
      <c r="S70">
        <v>46</v>
      </c>
    </row>
    <row r="71" spans="1:19" hidden="1" x14ac:dyDescent="0.25">
      <c r="A71" t="s">
        <v>294</v>
      </c>
      <c r="B71" t="s">
        <v>295</v>
      </c>
      <c r="C71" s="1">
        <v>46024</v>
      </c>
      <c r="D71" t="s">
        <v>45</v>
      </c>
      <c r="E71" t="s">
        <v>23</v>
      </c>
      <c r="F71" t="s">
        <v>24</v>
      </c>
      <c r="G71" t="s">
        <v>25</v>
      </c>
      <c r="I71" t="s">
        <v>296</v>
      </c>
      <c r="J71" t="s">
        <v>297</v>
      </c>
      <c r="K71" t="s">
        <v>298</v>
      </c>
      <c r="L71" t="s">
        <v>101</v>
      </c>
      <c r="M71">
        <v>1200</v>
      </c>
      <c r="N71">
        <v>16040</v>
      </c>
      <c r="O71">
        <v>14840</v>
      </c>
      <c r="P71">
        <v>0</v>
      </c>
      <c r="Q71" t="s">
        <v>99</v>
      </c>
      <c r="R71" t="s">
        <v>100</v>
      </c>
      <c r="S71">
        <v>0</v>
      </c>
    </row>
    <row r="72" spans="1:19" hidden="1" x14ac:dyDescent="0.25">
      <c r="A72" t="s">
        <v>299</v>
      </c>
      <c r="B72" t="s">
        <v>300</v>
      </c>
      <c r="C72" s="1">
        <v>46024</v>
      </c>
      <c r="D72" t="s">
        <v>45</v>
      </c>
      <c r="E72" t="s">
        <v>23</v>
      </c>
      <c r="F72" t="s">
        <v>24</v>
      </c>
      <c r="G72" t="s">
        <v>25</v>
      </c>
      <c r="I72" t="s">
        <v>301</v>
      </c>
      <c r="J72" t="s">
        <v>302</v>
      </c>
      <c r="K72" t="s">
        <v>215</v>
      </c>
      <c r="L72" t="s">
        <v>216</v>
      </c>
      <c r="M72">
        <v>2440</v>
      </c>
      <c r="N72">
        <v>17220</v>
      </c>
      <c r="O72">
        <v>14780</v>
      </c>
      <c r="P72">
        <v>0</v>
      </c>
      <c r="Q72" t="s">
        <v>99</v>
      </c>
      <c r="R72" t="s">
        <v>100</v>
      </c>
      <c r="S72">
        <v>0</v>
      </c>
    </row>
    <row r="73" spans="1:19" hidden="1" x14ac:dyDescent="0.25">
      <c r="A73" t="s">
        <v>303</v>
      </c>
      <c r="B73" t="s">
        <v>304</v>
      </c>
      <c r="C73" s="1">
        <v>46024</v>
      </c>
      <c r="D73" t="s">
        <v>52</v>
      </c>
      <c r="E73" t="s">
        <v>23</v>
      </c>
      <c r="F73" t="s">
        <v>24</v>
      </c>
      <c r="G73" t="s">
        <v>25</v>
      </c>
      <c r="I73" t="s">
        <v>305</v>
      </c>
      <c r="J73" t="s">
        <v>306</v>
      </c>
      <c r="K73" t="s">
        <v>307</v>
      </c>
      <c r="L73" t="s">
        <v>308</v>
      </c>
      <c r="M73">
        <v>4400</v>
      </c>
      <c r="N73">
        <v>18980</v>
      </c>
      <c r="O73">
        <v>14580</v>
      </c>
      <c r="P73">
        <v>0</v>
      </c>
      <c r="Q73" t="s">
        <v>99</v>
      </c>
      <c r="R73" t="s">
        <v>100</v>
      </c>
      <c r="S73">
        <v>1100</v>
      </c>
    </row>
    <row r="74" spans="1:19" x14ac:dyDescent="0.25">
      <c r="A74" t="s">
        <v>511</v>
      </c>
      <c r="B74" t="s">
        <v>512</v>
      </c>
      <c r="C74" s="1">
        <v>46028</v>
      </c>
      <c r="D74" t="s">
        <v>357</v>
      </c>
      <c r="E74" t="s">
        <v>91</v>
      </c>
      <c r="F74" t="s">
        <v>92</v>
      </c>
      <c r="G74" t="s">
        <v>93</v>
      </c>
      <c r="H74" t="s">
        <v>257</v>
      </c>
      <c r="I74" t="s">
        <v>258</v>
      </c>
      <c r="J74" t="s">
        <v>259</v>
      </c>
      <c r="K74" t="s">
        <v>28</v>
      </c>
      <c r="L74" t="s">
        <v>29</v>
      </c>
      <c r="M74">
        <v>940</v>
      </c>
      <c r="N74">
        <v>13560</v>
      </c>
      <c r="O74">
        <v>12620</v>
      </c>
      <c r="P74">
        <v>0</v>
      </c>
      <c r="Q74" t="s">
        <v>48</v>
      </c>
      <c r="R74" t="s">
        <v>49</v>
      </c>
      <c r="S74">
        <v>0</v>
      </c>
    </row>
    <row r="75" spans="1:19" x14ac:dyDescent="0.25">
      <c r="C75" s="1"/>
      <c r="M75" s="2">
        <f>SUBTOTAL(9,M64:M74)</f>
        <v>1320</v>
      </c>
    </row>
    <row r="76" spans="1:19" x14ac:dyDescent="0.25">
      <c r="A76" t="s">
        <v>361</v>
      </c>
      <c r="C76" s="1">
        <v>46026</v>
      </c>
      <c r="D76" t="s">
        <v>133</v>
      </c>
      <c r="E76" t="s">
        <v>91</v>
      </c>
      <c r="F76" t="s">
        <v>92</v>
      </c>
      <c r="G76" t="s">
        <v>93</v>
      </c>
      <c r="H76" t="s">
        <v>362</v>
      </c>
      <c r="I76" t="s">
        <v>363</v>
      </c>
      <c r="J76" t="s">
        <v>364</v>
      </c>
      <c r="K76" t="s">
        <v>28</v>
      </c>
      <c r="L76" t="s">
        <v>29</v>
      </c>
      <c r="M76">
        <v>3000</v>
      </c>
      <c r="N76">
        <v>17520</v>
      </c>
      <c r="O76">
        <v>14520</v>
      </c>
      <c r="P76">
        <v>0</v>
      </c>
      <c r="S76">
        <v>0</v>
      </c>
    </row>
    <row r="77" spans="1:19" x14ac:dyDescent="0.25">
      <c r="C77" s="1"/>
      <c r="M77" s="2">
        <f>SUBTOTAL(9,M76)</f>
        <v>3000</v>
      </c>
    </row>
    <row r="78" spans="1:19" x14ac:dyDescent="0.25">
      <c r="A78" t="s">
        <v>312</v>
      </c>
      <c r="B78" t="s">
        <v>313</v>
      </c>
      <c r="C78" s="1">
        <v>46024</v>
      </c>
      <c r="D78" t="s">
        <v>311</v>
      </c>
      <c r="E78" t="s">
        <v>91</v>
      </c>
      <c r="F78" t="s">
        <v>92</v>
      </c>
      <c r="G78" t="s">
        <v>93</v>
      </c>
      <c r="H78" t="s">
        <v>314</v>
      </c>
      <c r="I78" t="s">
        <v>315</v>
      </c>
      <c r="J78" t="s">
        <v>316</v>
      </c>
      <c r="K78" t="s">
        <v>28</v>
      </c>
      <c r="L78" t="s">
        <v>29</v>
      </c>
      <c r="M78">
        <v>2780</v>
      </c>
      <c r="N78">
        <v>16900</v>
      </c>
      <c r="O78">
        <v>14120</v>
      </c>
      <c r="P78">
        <v>0</v>
      </c>
      <c r="Q78" t="s">
        <v>48</v>
      </c>
      <c r="R78" t="s">
        <v>49</v>
      </c>
      <c r="S78">
        <v>0</v>
      </c>
    </row>
    <row r="79" spans="1:19" x14ac:dyDescent="0.25">
      <c r="A79" t="s">
        <v>366</v>
      </c>
      <c r="C79" s="1">
        <v>46026</v>
      </c>
      <c r="D79" t="s">
        <v>133</v>
      </c>
      <c r="E79" t="s">
        <v>91</v>
      </c>
      <c r="F79" t="s">
        <v>92</v>
      </c>
      <c r="G79" t="s">
        <v>93</v>
      </c>
      <c r="H79" t="s">
        <v>314</v>
      </c>
      <c r="I79" t="s">
        <v>315</v>
      </c>
      <c r="J79" t="s">
        <v>316</v>
      </c>
      <c r="K79" t="s">
        <v>28</v>
      </c>
      <c r="L79" t="s">
        <v>29</v>
      </c>
      <c r="M79">
        <v>2460</v>
      </c>
      <c r="N79">
        <v>16240</v>
      </c>
      <c r="O79">
        <v>13780</v>
      </c>
      <c r="P79">
        <v>0</v>
      </c>
      <c r="S79">
        <v>0</v>
      </c>
    </row>
    <row r="80" spans="1:19" hidden="1" x14ac:dyDescent="0.25">
      <c r="A80" t="s">
        <v>323</v>
      </c>
      <c r="C80" s="1">
        <v>46025</v>
      </c>
      <c r="D80" t="s">
        <v>45</v>
      </c>
      <c r="E80" t="s">
        <v>23</v>
      </c>
      <c r="F80" t="s">
        <v>24</v>
      </c>
      <c r="G80" t="s">
        <v>25</v>
      </c>
      <c r="I80" t="s">
        <v>324</v>
      </c>
      <c r="J80" t="s">
        <v>325</v>
      </c>
      <c r="K80" t="s">
        <v>215</v>
      </c>
      <c r="L80" t="s">
        <v>216</v>
      </c>
      <c r="M80">
        <v>2580</v>
      </c>
      <c r="N80">
        <v>17980</v>
      </c>
      <c r="O80">
        <v>15400</v>
      </c>
      <c r="P80">
        <v>0</v>
      </c>
      <c r="S80">
        <v>0</v>
      </c>
    </row>
    <row r="81" spans="1:19" hidden="1" x14ac:dyDescent="0.25">
      <c r="A81" t="s">
        <v>326</v>
      </c>
      <c r="C81" s="1">
        <v>46025</v>
      </c>
      <c r="D81" t="s">
        <v>45</v>
      </c>
      <c r="E81" t="s">
        <v>23</v>
      </c>
      <c r="F81" t="s">
        <v>24</v>
      </c>
      <c r="G81" t="s">
        <v>25</v>
      </c>
      <c r="I81" t="s">
        <v>327</v>
      </c>
      <c r="J81" t="s">
        <v>328</v>
      </c>
      <c r="K81" t="s">
        <v>215</v>
      </c>
      <c r="L81" t="s">
        <v>216</v>
      </c>
      <c r="M81">
        <v>2300</v>
      </c>
      <c r="N81">
        <v>17720</v>
      </c>
      <c r="O81">
        <v>15420</v>
      </c>
      <c r="P81">
        <v>0</v>
      </c>
      <c r="S81">
        <v>0</v>
      </c>
    </row>
    <row r="82" spans="1:19" x14ac:dyDescent="0.25">
      <c r="A82" t="s">
        <v>908</v>
      </c>
      <c r="C82" s="1">
        <v>46032</v>
      </c>
      <c r="D82" t="s">
        <v>621</v>
      </c>
      <c r="E82" t="s">
        <v>91</v>
      </c>
      <c r="F82" t="s">
        <v>92</v>
      </c>
      <c r="G82" t="s">
        <v>93</v>
      </c>
      <c r="H82" t="s">
        <v>314</v>
      </c>
      <c r="I82" t="s">
        <v>315</v>
      </c>
      <c r="J82" t="s">
        <v>316</v>
      </c>
      <c r="K82" t="s">
        <v>28</v>
      </c>
      <c r="L82" t="s">
        <v>29</v>
      </c>
      <c r="M82">
        <v>4260</v>
      </c>
      <c r="N82">
        <v>18100</v>
      </c>
      <c r="O82">
        <v>13840</v>
      </c>
      <c r="P82">
        <v>0</v>
      </c>
      <c r="S82">
        <v>0</v>
      </c>
    </row>
    <row r="83" spans="1:19" hidden="1" x14ac:dyDescent="0.25">
      <c r="A83" t="s">
        <v>331</v>
      </c>
      <c r="C83" s="1">
        <v>46025</v>
      </c>
      <c r="D83" t="s">
        <v>45</v>
      </c>
      <c r="E83" t="s">
        <v>23</v>
      </c>
      <c r="F83" t="s">
        <v>24</v>
      </c>
      <c r="G83" t="s">
        <v>25</v>
      </c>
      <c r="I83" t="s">
        <v>332</v>
      </c>
      <c r="J83" t="s">
        <v>333</v>
      </c>
      <c r="K83" t="s">
        <v>215</v>
      </c>
      <c r="L83" t="s">
        <v>216</v>
      </c>
      <c r="M83">
        <v>1720</v>
      </c>
      <c r="N83">
        <v>17320</v>
      </c>
      <c r="O83">
        <v>15600</v>
      </c>
      <c r="P83">
        <v>0</v>
      </c>
      <c r="S83">
        <v>0</v>
      </c>
    </row>
    <row r="84" spans="1:19" x14ac:dyDescent="0.25">
      <c r="C84" s="1"/>
      <c r="M84" s="2">
        <f>SUBTOTAL(9,M78:M83)</f>
        <v>9500</v>
      </c>
    </row>
    <row r="85" spans="1:19" x14ac:dyDescent="0.25">
      <c r="A85" t="s">
        <v>334</v>
      </c>
      <c r="C85" s="1">
        <v>46025</v>
      </c>
      <c r="D85" t="s">
        <v>335</v>
      </c>
      <c r="E85" t="s">
        <v>91</v>
      </c>
      <c r="F85" t="s">
        <v>92</v>
      </c>
      <c r="G85" t="s">
        <v>93</v>
      </c>
      <c r="H85" t="s">
        <v>336</v>
      </c>
      <c r="I85" t="s">
        <v>315</v>
      </c>
      <c r="J85" t="s">
        <v>316</v>
      </c>
      <c r="K85" t="s">
        <v>196</v>
      </c>
      <c r="L85" t="s">
        <v>197</v>
      </c>
      <c r="M85">
        <v>493</v>
      </c>
      <c r="N85">
        <v>14793</v>
      </c>
      <c r="O85">
        <v>14300</v>
      </c>
      <c r="P85">
        <v>0</v>
      </c>
      <c r="S85">
        <v>67</v>
      </c>
    </row>
    <row r="86" spans="1:19" hidden="1" x14ac:dyDescent="0.25">
      <c r="A86" t="s">
        <v>337</v>
      </c>
      <c r="C86" s="1">
        <v>46025</v>
      </c>
      <c r="D86" t="s">
        <v>45</v>
      </c>
      <c r="E86" t="s">
        <v>23</v>
      </c>
      <c r="F86" t="s">
        <v>24</v>
      </c>
      <c r="G86" t="s">
        <v>25</v>
      </c>
      <c r="I86" t="s">
        <v>338</v>
      </c>
      <c r="J86" t="s">
        <v>339</v>
      </c>
      <c r="K86" t="s">
        <v>215</v>
      </c>
      <c r="L86" t="s">
        <v>216</v>
      </c>
      <c r="M86">
        <v>2320</v>
      </c>
      <c r="N86">
        <v>17720</v>
      </c>
      <c r="O86">
        <v>15400</v>
      </c>
      <c r="P86">
        <v>0</v>
      </c>
      <c r="S86">
        <v>0</v>
      </c>
    </row>
    <row r="87" spans="1:19" x14ac:dyDescent="0.25">
      <c r="C87" s="1"/>
      <c r="M87" s="2">
        <f>SUBTOTAL(9,M85:M86)</f>
        <v>493</v>
      </c>
    </row>
    <row r="88" spans="1:19" x14ac:dyDescent="0.25">
      <c r="A88" t="s">
        <v>620</v>
      </c>
      <c r="C88" s="1">
        <v>46030</v>
      </c>
      <c r="D88" t="s">
        <v>621</v>
      </c>
      <c r="E88" t="s">
        <v>91</v>
      </c>
      <c r="F88" t="s">
        <v>92</v>
      </c>
      <c r="G88" t="s">
        <v>93</v>
      </c>
      <c r="H88" t="s">
        <v>622</v>
      </c>
      <c r="I88" t="s">
        <v>315</v>
      </c>
      <c r="J88" t="s">
        <v>316</v>
      </c>
      <c r="K88" t="s">
        <v>342</v>
      </c>
      <c r="L88" t="s">
        <v>343</v>
      </c>
      <c r="M88">
        <v>2620</v>
      </c>
      <c r="N88">
        <v>16840</v>
      </c>
      <c r="O88">
        <v>14220</v>
      </c>
      <c r="P88">
        <v>0</v>
      </c>
      <c r="S88">
        <v>0</v>
      </c>
    </row>
    <row r="89" spans="1:19" hidden="1" x14ac:dyDescent="0.25">
      <c r="A89" t="s">
        <v>344</v>
      </c>
      <c r="C89" s="1">
        <v>46025</v>
      </c>
      <c r="D89" t="s">
        <v>45</v>
      </c>
      <c r="E89" t="s">
        <v>23</v>
      </c>
      <c r="F89" t="s">
        <v>24</v>
      </c>
      <c r="G89" t="s">
        <v>25</v>
      </c>
      <c r="I89" t="s">
        <v>345</v>
      </c>
      <c r="J89" t="s">
        <v>346</v>
      </c>
      <c r="K89" t="s">
        <v>215</v>
      </c>
      <c r="L89" t="s">
        <v>216</v>
      </c>
      <c r="M89">
        <v>2780</v>
      </c>
      <c r="N89">
        <v>17940</v>
      </c>
      <c r="O89">
        <v>15160</v>
      </c>
      <c r="P89">
        <v>0</v>
      </c>
      <c r="S89">
        <v>0</v>
      </c>
    </row>
    <row r="90" spans="1:19" x14ac:dyDescent="0.25">
      <c r="C90" s="1"/>
      <c r="M90" s="2">
        <f>SUBTOTAL(9,M88:M89)</f>
        <v>2620</v>
      </c>
    </row>
    <row r="91" spans="1:19" x14ac:dyDescent="0.25">
      <c r="A91" t="s">
        <v>356</v>
      </c>
      <c r="C91" s="1">
        <v>46026</v>
      </c>
      <c r="D91" t="s">
        <v>357</v>
      </c>
      <c r="E91" t="s">
        <v>91</v>
      </c>
      <c r="F91" t="s">
        <v>92</v>
      </c>
      <c r="G91" t="s">
        <v>93</v>
      </c>
      <c r="H91" t="s">
        <v>358</v>
      </c>
      <c r="I91" t="s">
        <v>359</v>
      </c>
      <c r="J91" t="s">
        <v>360</v>
      </c>
      <c r="K91" t="s">
        <v>28</v>
      </c>
      <c r="L91" t="s">
        <v>29</v>
      </c>
      <c r="M91">
        <v>4560</v>
      </c>
      <c r="N91">
        <v>18500</v>
      </c>
      <c r="O91">
        <v>13940</v>
      </c>
      <c r="P91">
        <v>0</v>
      </c>
      <c r="S91">
        <v>0</v>
      </c>
    </row>
    <row r="92" spans="1:19" x14ac:dyDescent="0.25">
      <c r="A92" t="s">
        <v>906</v>
      </c>
      <c r="C92" s="1">
        <v>46032</v>
      </c>
      <c r="D92" t="s">
        <v>694</v>
      </c>
      <c r="E92" t="s">
        <v>91</v>
      </c>
      <c r="F92" t="s">
        <v>92</v>
      </c>
      <c r="G92" t="s">
        <v>93</v>
      </c>
      <c r="H92" t="s">
        <v>358</v>
      </c>
      <c r="I92" t="s">
        <v>359</v>
      </c>
      <c r="J92" t="s">
        <v>360</v>
      </c>
      <c r="K92" t="s">
        <v>28</v>
      </c>
      <c r="L92" t="s">
        <v>29</v>
      </c>
      <c r="M92">
        <v>6180</v>
      </c>
      <c r="N92">
        <v>22120</v>
      </c>
      <c r="O92">
        <v>15940</v>
      </c>
      <c r="P92">
        <v>0</v>
      </c>
      <c r="S92">
        <v>0</v>
      </c>
    </row>
    <row r="93" spans="1:19" x14ac:dyDescent="0.25">
      <c r="A93" t="s">
        <v>913</v>
      </c>
      <c r="C93" s="1">
        <v>46032</v>
      </c>
      <c r="D93" t="s">
        <v>694</v>
      </c>
      <c r="E93" t="s">
        <v>91</v>
      </c>
      <c r="F93" t="s">
        <v>92</v>
      </c>
      <c r="G93" t="s">
        <v>93</v>
      </c>
      <c r="H93" t="s">
        <v>358</v>
      </c>
      <c r="I93" t="s">
        <v>359</v>
      </c>
      <c r="J93" t="s">
        <v>360</v>
      </c>
      <c r="K93" t="s">
        <v>28</v>
      </c>
      <c r="L93" t="s">
        <v>29</v>
      </c>
      <c r="M93">
        <v>6520</v>
      </c>
      <c r="N93">
        <v>22240</v>
      </c>
      <c r="O93">
        <v>15720</v>
      </c>
      <c r="P93">
        <v>0</v>
      </c>
      <c r="S93">
        <v>0</v>
      </c>
    </row>
    <row r="94" spans="1:19" x14ac:dyDescent="0.25">
      <c r="A94" t="s">
        <v>932</v>
      </c>
      <c r="C94" s="1">
        <v>46033</v>
      </c>
      <c r="D94" t="s">
        <v>357</v>
      </c>
      <c r="E94" t="s">
        <v>91</v>
      </c>
      <c r="F94" t="s">
        <v>92</v>
      </c>
      <c r="G94" t="s">
        <v>93</v>
      </c>
      <c r="H94" t="s">
        <v>358</v>
      </c>
      <c r="I94" t="s">
        <v>359</v>
      </c>
      <c r="J94" t="s">
        <v>360</v>
      </c>
      <c r="K94" t="s">
        <v>28</v>
      </c>
      <c r="L94" t="s">
        <v>29</v>
      </c>
      <c r="M94">
        <v>6280</v>
      </c>
      <c r="N94">
        <v>20000</v>
      </c>
      <c r="O94">
        <v>13720</v>
      </c>
      <c r="P94">
        <v>0</v>
      </c>
      <c r="S94">
        <v>0</v>
      </c>
    </row>
    <row r="95" spans="1:19" x14ac:dyDescent="0.25">
      <c r="C95" s="1"/>
      <c r="M95" s="2">
        <f>SUBTOTAL(9,M91:M94)</f>
        <v>23540</v>
      </c>
    </row>
    <row r="96" spans="1:19" x14ac:dyDescent="0.25">
      <c r="A96" t="s">
        <v>468</v>
      </c>
      <c r="B96" t="s">
        <v>468</v>
      </c>
      <c r="C96" s="1">
        <v>46027</v>
      </c>
      <c r="D96" t="s">
        <v>369</v>
      </c>
      <c r="E96" t="s">
        <v>91</v>
      </c>
      <c r="F96" t="s">
        <v>92</v>
      </c>
      <c r="G96" t="s">
        <v>93</v>
      </c>
      <c r="H96" t="s">
        <v>469</v>
      </c>
      <c r="I96" t="s">
        <v>359</v>
      </c>
      <c r="J96" t="s">
        <v>360</v>
      </c>
      <c r="K96" t="s">
        <v>196</v>
      </c>
      <c r="L96" t="s">
        <v>197</v>
      </c>
      <c r="M96">
        <v>1278</v>
      </c>
      <c r="N96">
        <v>15218</v>
      </c>
      <c r="O96">
        <v>13940</v>
      </c>
      <c r="P96">
        <v>0</v>
      </c>
      <c r="S96">
        <v>142</v>
      </c>
    </row>
    <row r="97" spans="1:19" x14ac:dyDescent="0.25">
      <c r="C97" s="1"/>
      <c r="M97" s="2">
        <f>SUBTOTAL(9,M96)</f>
        <v>1278</v>
      </c>
    </row>
    <row r="98" spans="1:19" x14ac:dyDescent="0.25">
      <c r="A98" t="s">
        <v>405</v>
      </c>
      <c r="B98" t="s">
        <v>406</v>
      </c>
      <c r="C98" s="1">
        <v>46027</v>
      </c>
      <c r="D98" t="s">
        <v>369</v>
      </c>
      <c r="E98" t="s">
        <v>91</v>
      </c>
      <c r="F98" t="s">
        <v>92</v>
      </c>
      <c r="G98" t="s">
        <v>93</v>
      </c>
      <c r="H98" t="s">
        <v>407</v>
      </c>
      <c r="I98" t="s">
        <v>359</v>
      </c>
      <c r="J98" t="s">
        <v>360</v>
      </c>
      <c r="K98" t="s">
        <v>342</v>
      </c>
      <c r="L98" t="s">
        <v>343</v>
      </c>
      <c r="M98">
        <v>1920</v>
      </c>
      <c r="N98">
        <v>15860</v>
      </c>
      <c r="O98">
        <v>13940</v>
      </c>
      <c r="P98">
        <v>0</v>
      </c>
      <c r="Q98" t="s">
        <v>99</v>
      </c>
      <c r="R98" t="s">
        <v>100</v>
      </c>
      <c r="S98">
        <v>0</v>
      </c>
    </row>
    <row r="99" spans="1:19" x14ac:dyDescent="0.25">
      <c r="C99" s="1"/>
      <c r="M99" s="2">
        <f>SUBTOTAL(9,M98)</f>
        <v>1920</v>
      </c>
    </row>
    <row r="100" spans="1:19" x14ac:dyDescent="0.25">
      <c r="A100" t="s">
        <v>501</v>
      </c>
      <c r="B100" t="s">
        <v>502</v>
      </c>
      <c r="C100" s="1">
        <v>46028</v>
      </c>
      <c r="D100" t="s">
        <v>503</v>
      </c>
      <c r="E100" t="s">
        <v>91</v>
      </c>
      <c r="F100" t="s">
        <v>92</v>
      </c>
      <c r="G100" t="s">
        <v>93</v>
      </c>
      <c r="H100" t="s">
        <v>504</v>
      </c>
      <c r="I100" t="s">
        <v>265</v>
      </c>
      <c r="J100" t="s">
        <v>266</v>
      </c>
      <c r="K100" t="s">
        <v>28</v>
      </c>
      <c r="L100" t="s">
        <v>29</v>
      </c>
      <c r="M100">
        <v>4740</v>
      </c>
      <c r="N100">
        <v>26380</v>
      </c>
      <c r="O100">
        <v>21640</v>
      </c>
      <c r="P100">
        <v>0</v>
      </c>
      <c r="Q100" t="s">
        <v>48</v>
      </c>
      <c r="R100" t="s">
        <v>49</v>
      </c>
      <c r="S100">
        <v>0</v>
      </c>
    </row>
    <row r="101" spans="1:19" hidden="1" x14ac:dyDescent="0.25">
      <c r="A101" t="s">
        <v>370</v>
      </c>
      <c r="B101" t="s">
        <v>371</v>
      </c>
      <c r="C101" s="1">
        <v>46027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 t="s">
        <v>377</v>
      </c>
      <c r="J101" t="s">
        <v>378</v>
      </c>
      <c r="K101" t="s">
        <v>215</v>
      </c>
      <c r="L101" t="s">
        <v>216</v>
      </c>
      <c r="M101">
        <v>400</v>
      </c>
      <c r="N101">
        <v>16380</v>
      </c>
      <c r="O101">
        <v>15980</v>
      </c>
      <c r="P101">
        <v>0</v>
      </c>
      <c r="Q101" t="s">
        <v>48</v>
      </c>
      <c r="R101" t="s">
        <v>49</v>
      </c>
      <c r="S101">
        <v>0</v>
      </c>
    </row>
    <row r="102" spans="1:19" hidden="1" x14ac:dyDescent="0.25">
      <c r="A102" t="s">
        <v>379</v>
      </c>
      <c r="B102" t="s">
        <v>380</v>
      </c>
      <c r="C102" s="1">
        <v>46027</v>
      </c>
      <c r="D102" t="s">
        <v>45</v>
      </c>
      <c r="E102" t="s">
        <v>23</v>
      </c>
      <c r="F102" t="s">
        <v>24</v>
      </c>
      <c r="G102" t="s">
        <v>25</v>
      </c>
      <c r="I102" t="s">
        <v>206</v>
      </c>
      <c r="J102" t="s">
        <v>207</v>
      </c>
      <c r="K102" t="s">
        <v>196</v>
      </c>
      <c r="L102" t="s">
        <v>197</v>
      </c>
      <c r="M102">
        <v>1339</v>
      </c>
      <c r="N102">
        <v>16559</v>
      </c>
      <c r="O102">
        <v>15220</v>
      </c>
      <c r="P102">
        <v>3</v>
      </c>
      <c r="Q102" t="s">
        <v>99</v>
      </c>
      <c r="R102" t="s">
        <v>100</v>
      </c>
      <c r="S102">
        <v>101</v>
      </c>
    </row>
    <row r="103" spans="1:19" x14ac:dyDescent="0.25">
      <c r="A103" t="s">
        <v>866</v>
      </c>
      <c r="C103" s="1">
        <v>46031</v>
      </c>
      <c r="D103" t="s">
        <v>335</v>
      </c>
      <c r="E103" t="s">
        <v>91</v>
      </c>
      <c r="F103" t="s">
        <v>92</v>
      </c>
      <c r="G103" t="s">
        <v>93</v>
      </c>
      <c r="H103" t="s">
        <v>504</v>
      </c>
      <c r="I103" t="s">
        <v>265</v>
      </c>
      <c r="J103" t="s">
        <v>266</v>
      </c>
      <c r="K103" t="s">
        <v>28</v>
      </c>
      <c r="L103" t="s">
        <v>29</v>
      </c>
      <c r="M103">
        <v>5340</v>
      </c>
      <c r="N103">
        <v>24680</v>
      </c>
      <c r="O103">
        <v>19340</v>
      </c>
      <c r="P103">
        <v>0</v>
      </c>
      <c r="S103">
        <v>0</v>
      </c>
    </row>
    <row r="104" spans="1:19" hidden="1" x14ac:dyDescent="0.25">
      <c r="A104" t="s">
        <v>388</v>
      </c>
      <c r="B104" t="s">
        <v>389</v>
      </c>
      <c r="C104" s="1">
        <v>46027</v>
      </c>
      <c r="D104" t="s">
        <v>71</v>
      </c>
      <c r="E104" t="s">
        <v>23</v>
      </c>
      <c r="F104" t="s">
        <v>24</v>
      </c>
      <c r="G104" t="s">
        <v>25</v>
      </c>
      <c r="I104" t="s">
        <v>305</v>
      </c>
      <c r="J104" t="s">
        <v>306</v>
      </c>
      <c r="K104" t="s">
        <v>307</v>
      </c>
      <c r="L104" t="s">
        <v>308</v>
      </c>
      <c r="M104">
        <v>4992</v>
      </c>
      <c r="N104">
        <v>19552</v>
      </c>
      <c r="O104">
        <v>14560</v>
      </c>
      <c r="P104">
        <v>0</v>
      </c>
      <c r="Q104" t="s">
        <v>99</v>
      </c>
      <c r="R104" t="s">
        <v>100</v>
      </c>
      <c r="S104">
        <v>1248</v>
      </c>
    </row>
    <row r="105" spans="1:19" hidden="1" x14ac:dyDescent="0.25">
      <c r="A105" t="s">
        <v>390</v>
      </c>
      <c r="B105" t="s">
        <v>391</v>
      </c>
      <c r="C105" s="1">
        <v>46027</v>
      </c>
      <c r="D105" t="s">
        <v>219</v>
      </c>
      <c r="E105" t="s">
        <v>220</v>
      </c>
      <c r="F105" t="s">
        <v>221</v>
      </c>
      <c r="G105" t="s">
        <v>221</v>
      </c>
      <c r="H105" t="s">
        <v>222</v>
      </c>
      <c r="I105" t="s">
        <v>19</v>
      </c>
      <c r="J105" t="s">
        <v>223</v>
      </c>
      <c r="K105" t="s">
        <v>28</v>
      </c>
      <c r="L105" t="s">
        <v>29</v>
      </c>
      <c r="M105">
        <v>20040</v>
      </c>
      <c r="N105">
        <v>38460</v>
      </c>
      <c r="O105">
        <v>18420</v>
      </c>
      <c r="P105">
        <v>0</v>
      </c>
      <c r="S105">
        <v>0</v>
      </c>
    </row>
    <row r="106" spans="1:19" hidden="1" x14ac:dyDescent="0.25">
      <c r="A106" t="s">
        <v>392</v>
      </c>
      <c r="B106" t="s">
        <v>393</v>
      </c>
      <c r="C106" s="1">
        <v>46027</v>
      </c>
      <c r="D106" t="s">
        <v>394</v>
      </c>
      <c r="E106" t="s">
        <v>238</v>
      </c>
      <c r="F106" t="s">
        <v>246</v>
      </c>
      <c r="G106" t="s">
        <v>247</v>
      </c>
      <c r="H106" t="s">
        <v>395</v>
      </c>
      <c r="I106" t="s">
        <v>396</v>
      </c>
      <c r="J106" t="s">
        <v>397</v>
      </c>
      <c r="K106" t="s">
        <v>215</v>
      </c>
      <c r="L106" t="s">
        <v>216</v>
      </c>
      <c r="M106">
        <v>360</v>
      </c>
      <c r="N106">
        <v>3320</v>
      </c>
      <c r="O106">
        <v>2960</v>
      </c>
      <c r="P106">
        <v>0</v>
      </c>
      <c r="Q106" t="s">
        <v>48</v>
      </c>
      <c r="R106" t="s">
        <v>49</v>
      </c>
      <c r="S106">
        <v>0</v>
      </c>
    </row>
    <row r="107" spans="1:19" hidden="1" x14ac:dyDescent="0.25">
      <c r="A107" t="s">
        <v>398</v>
      </c>
      <c r="B107" t="s">
        <v>399</v>
      </c>
      <c r="C107" s="1">
        <v>46027</v>
      </c>
      <c r="D107" t="s">
        <v>71</v>
      </c>
      <c r="E107" t="s">
        <v>23</v>
      </c>
      <c r="F107" t="s">
        <v>24</v>
      </c>
      <c r="G107" t="s">
        <v>25</v>
      </c>
      <c r="I107" t="s">
        <v>400</v>
      </c>
      <c r="J107" t="s">
        <v>401</v>
      </c>
      <c r="K107" t="s">
        <v>196</v>
      </c>
      <c r="L107" t="s">
        <v>197</v>
      </c>
      <c r="M107">
        <v>2340</v>
      </c>
      <c r="N107">
        <v>20160</v>
      </c>
      <c r="O107">
        <v>17820</v>
      </c>
      <c r="P107">
        <v>3</v>
      </c>
      <c r="Q107" t="s">
        <v>99</v>
      </c>
      <c r="R107" t="s">
        <v>100</v>
      </c>
      <c r="S107">
        <v>260</v>
      </c>
    </row>
    <row r="108" spans="1:19" x14ac:dyDescent="0.25">
      <c r="C108" s="1"/>
      <c r="M108" s="2">
        <f>SUBTOTAL(9,M100:M107)</f>
        <v>10080</v>
      </c>
    </row>
    <row r="109" spans="1:19" x14ac:dyDescent="0.25">
      <c r="A109" t="s">
        <v>786</v>
      </c>
      <c r="B109" t="s">
        <v>787</v>
      </c>
      <c r="C109" s="1">
        <v>46031</v>
      </c>
      <c r="D109" t="s">
        <v>788</v>
      </c>
      <c r="E109" t="s">
        <v>91</v>
      </c>
      <c r="F109" t="s">
        <v>92</v>
      </c>
      <c r="G109" t="s">
        <v>93</v>
      </c>
      <c r="H109" t="s">
        <v>789</v>
      </c>
      <c r="I109" t="s">
        <v>265</v>
      </c>
      <c r="J109" t="s">
        <v>266</v>
      </c>
      <c r="K109" t="s">
        <v>472</v>
      </c>
      <c r="L109" t="s">
        <v>473</v>
      </c>
      <c r="M109">
        <v>1375</v>
      </c>
      <c r="N109">
        <v>20615</v>
      </c>
      <c r="O109">
        <v>19240</v>
      </c>
      <c r="P109">
        <v>0</v>
      </c>
      <c r="Q109" t="s">
        <v>99</v>
      </c>
      <c r="R109" t="s">
        <v>100</v>
      </c>
      <c r="S109">
        <v>205</v>
      </c>
    </row>
    <row r="110" spans="1:19" x14ac:dyDescent="0.25">
      <c r="C110" s="1"/>
      <c r="M110" s="2">
        <f>SUBTOTAL(9,M109)</f>
        <v>1375</v>
      </c>
    </row>
    <row r="111" spans="1:19" x14ac:dyDescent="0.25">
      <c r="A111" t="s">
        <v>340</v>
      </c>
      <c r="C111" s="1">
        <v>46025</v>
      </c>
      <c r="D111" t="s">
        <v>335</v>
      </c>
      <c r="E111" t="s">
        <v>91</v>
      </c>
      <c r="F111" t="s">
        <v>92</v>
      </c>
      <c r="G111" t="s">
        <v>93</v>
      </c>
      <c r="H111" t="s">
        <v>341</v>
      </c>
      <c r="I111" t="s">
        <v>265</v>
      </c>
      <c r="J111" t="s">
        <v>266</v>
      </c>
      <c r="K111" t="s">
        <v>342</v>
      </c>
      <c r="L111" t="s">
        <v>343</v>
      </c>
      <c r="M111">
        <v>3260</v>
      </c>
      <c r="N111">
        <v>17240</v>
      </c>
      <c r="O111">
        <v>13980</v>
      </c>
      <c r="P111">
        <v>0</v>
      </c>
      <c r="S111">
        <v>0</v>
      </c>
    </row>
    <row r="112" spans="1:19" hidden="1" x14ac:dyDescent="0.25">
      <c r="A112" t="s">
        <v>408</v>
      </c>
      <c r="B112" t="s">
        <v>409</v>
      </c>
      <c r="C112" s="1">
        <v>46027</v>
      </c>
      <c r="D112" t="s">
        <v>410</v>
      </c>
      <c r="E112" t="s">
        <v>411</v>
      </c>
      <c r="F112" t="s">
        <v>413</v>
      </c>
      <c r="G112" t="s">
        <v>414</v>
      </c>
      <c r="H112" t="s">
        <v>415</v>
      </c>
      <c r="I112" t="s">
        <v>416</v>
      </c>
      <c r="J112" t="s">
        <v>412</v>
      </c>
      <c r="K112" t="s">
        <v>298</v>
      </c>
      <c r="L112" t="s">
        <v>101</v>
      </c>
      <c r="M112">
        <v>21480</v>
      </c>
      <c r="N112">
        <v>43560</v>
      </c>
      <c r="O112">
        <v>22080</v>
      </c>
      <c r="P112">
        <v>0</v>
      </c>
      <c r="S112">
        <v>0</v>
      </c>
    </row>
    <row r="113" spans="1:19" hidden="1" x14ac:dyDescent="0.25">
      <c r="A113" t="s">
        <v>417</v>
      </c>
      <c r="B113" t="s">
        <v>418</v>
      </c>
      <c r="C113" s="1">
        <v>46027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62</v>
      </c>
      <c r="J113" t="s">
        <v>137</v>
      </c>
      <c r="K113" t="s">
        <v>215</v>
      </c>
      <c r="L113" t="s">
        <v>216</v>
      </c>
      <c r="M113">
        <v>1320</v>
      </c>
      <c r="N113">
        <v>15600</v>
      </c>
      <c r="O113">
        <v>14280</v>
      </c>
      <c r="P113">
        <v>0</v>
      </c>
      <c r="S113">
        <v>0</v>
      </c>
    </row>
    <row r="114" spans="1:19" x14ac:dyDescent="0.25">
      <c r="C114" s="1"/>
      <c r="M114" s="2">
        <f>SUBTOTAL(9,M111:M113)</f>
        <v>3260</v>
      </c>
    </row>
    <row r="115" spans="1:19" x14ac:dyDescent="0.25">
      <c r="A115" t="s">
        <v>262</v>
      </c>
      <c r="B115" t="s">
        <v>263</v>
      </c>
      <c r="C115" s="1">
        <v>46024</v>
      </c>
      <c r="D115" t="s">
        <v>133</v>
      </c>
      <c r="E115" t="s">
        <v>91</v>
      </c>
      <c r="F115" t="s">
        <v>92</v>
      </c>
      <c r="G115" t="s">
        <v>93</v>
      </c>
      <c r="H115" t="s">
        <v>264</v>
      </c>
      <c r="I115" t="s">
        <v>265</v>
      </c>
      <c r="J115" t="s">
        <v>266</v>
      </c>
      <c r="K115" t="s">
        <v>200</v>
      </c>
      <c r="L115" t="s">
        <v>201</v>
      </c>
      <c r="M115">
        <v>1840</v>
      </c>
      <c r="N115">
        <v>15420</v>
      </c>
      <c r="O115">
        <v>13580</v>
      </c>
      <c r="P115">
        <v>0</v>
      </c>
      <c r="S115">
        <v>0</v>
      </c>
    </row>
    <row r="116" spans="1:19" hidden="1" x14ac:dyDescent="0.25">
      <c r="A116" t="s">
        <v>421</v>
      </c>
      <c r="B116" t="s">
        <v>422</v>
      </c>
      <c r="C116" s="1">
        <v>46027</v>
      </c>
      <c r="D116" t="s">
        <v>423</v>
      </c>
      <c r="E116" t="s">
        <v>211</v>
      </c>
      <c r="F116" t="s">
        <v>424</v>
      </c>
      <c r="G116" t="s">
        <v>425</v>
      </c>
      <c r="H116" t="s">
        <v>214</v>
      </c>
      <c r="I116" t="s">
        <v>62</v>
      </c>
      <c r="J116" t="s">
        <v>137</v>
      </c>
      <c r="K116" t="s">
        <v>215</v>
      </c>
      <c r="L116" t="s">
        <v>216</v>
      </c>
      <c r="M116">
        <v>700</v>
      </c>
      <c r="N116">
        <v>3860</v>
      </c>
      <c r="O116">
        <v>3160</v>
      </c>
      <c r="P116">
        <v>0</v>
      </c>
      <c r="S116">
        <v>0</v>
      </c>
    </row>
    <row r="117" spans="1:19" hidden="1" x14ac:dyDescent="0.25">
      <c r="A117" t="s">
        <v>426</v>
      </c>
      <c r="B117" t="s">
        <v>427</v>
      </c>
      <c r="C117" s="1">
        <v>46027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62</v>
      </c>
      <c r="J117" t="s">
        <v>137</v>
      </c>
      <c r="K117" t="s">
        <v>215</v>
      </c>
      <c r="L117" t="s">
        <v>216</v>
      </c>
      <c r="M117">
        <v>1540</v>
      </c>
      <c r="N117">
        <v>15640</v>
      </c>
      <c r="O117">
        <v>14100</v>
      </c>
      <c r="P117">
        <v>0</v>
      </c>
      <c r="S117">
        <v>0</v>
      </c>
    </row>
    <row r="118" spans="1:19" hidden="1" x14ac:dyDescent="0.25">
      <c r="A118" t="s">
        <v>428</v>
      </c>
      <c r="B118" t="s">
        <v>429</v>
      </c>
      <c r="C118" s="1">
        <v>46027</v>
      </c>
      <c r="D118" t="s">
        <v>430</v>
      </c>
      <c r="E118" t="s">
        <v>238</v>
      </c>
      <c r="F118" t="s">
        <v>246</v>
      </c>
      <c r="G118" t="s">
        <v>247</v>
      </c>
      <c r="H118" t="s">
        <v>248</v>
      </c>
      <c r="I118" t="s">
        <v>249</v>
      </c>
      <c r="J118" t="s">
        <v>250</v>
      </c>
      <c r="K118" t="s">
        <v>215</v>
      </c>
      <c r="L118" t="s">
        <v>216</v>
      </c>
      <c r="M118">
        <v>4920</v>
      </c>
      <c r="N118">
        <v>18280</v>
      </c>
      <c r="O118">
        <v>13360</v>
      </c>
      <c r="P118">
        <v>0</v>
      </c>
      <c r="Q118" t="s">
        <v>48</v>
      </c>
      <c r="R118" t="s">
        <v>49</v>
      </c>
      <c r="S118">
        <v>0</v>
      </c>
    </row>
    <row r="119" spans="1:19" hidden="1" x14ac:dyDescent="0.25">
      <c r="A119" t="s">
        <v>431</v>
      </c>
      <c r="B119" t="s">
        <v>432</v>
      </c>
      <c r="C119" s="1">
        <v>46027</v>
      </c>
      <c r="D119" t="s">
        <v>71</v>
      </c>
      <c r="E119" t="s">
        <v>23</v>
      </c>
      <c r="F119" t="s">
        <v>24</v>
      </c>
      <c r="G119" t="s">
        <v>25</v>
      </c>
      <c r="I119" t="s">
        <v>324</v>
      </c>
      <c r="J119" t="s">
        <v>325</v>
      </c>
      <c r="K119" t="s">
        <v>215</v>
      </c>
      <c r="L119" t="s">
        <v>216</v>
      </c>
      <c r="M119">
        <v>1960</v>
      </c>
      <c r="N119">
        <v>16720</v>
      </c>
      <c r="O119">
        <v>14760</v>
      </c>
      <c r="P119">
        <v>0</v>
      </c>
      <c r="Q119" t="s">
        <v>99</v>
      </c>
      <c r="R119" t="s">
        <v>100</v>
      </c>
      <c r="S119">
        <v>0</v>
      </c>
    </row>
    <row r="120" spans="1:19" x14ac:dyDescent="0.25">
      <c r="A120" t="s">
        <v>538</v>
      </c>
      <c r="B120" t="s">
        <v>539</v>
      </c>
      <c r="C120" s="1">
        <v>46028</v>
      </c>
      <c r="D120" t="s">
        <v>503</v>
      </c>
      <c r="E120" t="s">
        <v>91</v>
      </c>
      <c r="F120" t="s">
        <v>92</v>
      </c>
      <c r="G120" t="s">
        <v>93</v>
      </c>
      <c r="H120" t="s">
        <v>264</v>
      </c>
      <c r="I120" t="s">
        <v>265</v>
      </c>
      <c r="J120" t="s">
        <v>266</v>
      </c>
      <c r="K120" t="s">
        <v>200</v>
      </c>
      <c r="L120" t="s">
        <v>201</v>
      </c>
      <c r="M120">
        <v>3800</v>
      </c>
      <c r="N120">
        <v>17800</v>
      </c>
      <c r="O120">
        <v>14000</v>
      </c>
      <c r="P120">
        <v>0</v>
      </c>
      <c r="S120">
        <v>0</v>
      </c>
    </row>
    <row r="121" spans="1:19" hidden="1" x14ac:dyDescent="0.25">
      <c r="A121" t="s">
        <v>435</v>
      </c>
      <c r="B121" t="s">
        <v>436</v>
      </c>
      <c r="C121" s="1">
        <v>46027</v>
      </c>
      <c r="D121" t="s">
        <v>437</v>
      </c>
      <c r="E121" t="s">
        <v>220</v>
      </c>
      <c r="F121" t="s">
        <v>438</v>
      </c>
      <c r="G121" t="s">
        <v>439</v>
      </c>
      <c r="H121" t="s">
        <v>440</v>
      </c>
      <c r="I121" t="s">
        <v>19</v>
      </c>
      <c r="J121" t="s">
        <v>223</v>
      </c>
      <c r="K121" t="s">
        <v>441</v>
      </c>
      <c r="L121" t="s">
        <v>442</v>
      </c>
      <c r="M121">
        <v>14380</v>
      </c>
      <c r="N121">
        <v>32560</v>
      </c>
      <c r="O121">
        <v>18180</v>
      </c>
      <c r="P121">
        <v>0</v>
      </c>
      <c r="S121">
        <v>0</v>
      </c>
    </row>
    <row r="122" spans="1:19" x14ac:dyDescent="0.25">
      <c r="C122" s="1"/>
      <c r="M122" s="2">
        <f>SUBTOTAL(9,M115:M121)</f>
        <v>5640</v>
      </c>
    </row>
    <row r="123" spans="1:19" x14ac:dyDescent="0.25">
      <c r="A123" t="s">
        <v>351</v>
      </c>
      <c r="C123" s="1">
        <v>46026</v>
      </c>
      <c r="D123" t="s">
        <v>352</v>
      </c>
      <c r="E123" t="s">
        <v>91</v>
      </c>
      <c r="F123" t="s">
        <v>92</v>
      </c>
      <c r="G123" t="s">
        <v>93</v>
      </c>
      <c r="H123" t="s">
        <v>353</v>
      </c>
      <c r="I123" t="s">
        <v>354</v>
      </c>
      <c r="J123" t="s">
        <v>355</v>
      </c>
      <c r="K123" t="s">
        <v>28</v>
      </c>
      <c r="L123" t="s">
        <v>29</v>
      </c>
      <c r="M123">
        <v>5440</v>
      </c>
      <c r="N123">
        <v>23060</v>
      </c>
      <c r="O123">
        <v>17620</v>
      </c>
      <c r="P123">
        <v>0</v>
      </c>
      <c r="S123">
        <v>0</v>
      </c>
    </row>
    <row r="124" spans="1:19" hidden="1" x14ac:dyDescent="0.25">
      <c r="A124" t="s">
        <v>446</v>
      </c>
      <c r="B124" t="s">
        <v>447</v>
      </c>
      <c r="C124" s="1">
        <v>46027</v>
      </c>
      <c r="D124" t="s">
        <v>448</v>
      </c>
      <c r="E124" t="s">
        <v>373</v>
      </c>
      <c r="F124" t="s">
        <v>92</v>
      </c>
      <c r="G124" t="s">
        <v>93</v>
      </c>
      <c r="H124" t="s">
        <v>376</v>
      </c>
      <c r="I124" t="s">
        <v>377</v>
      </c>
      <c r="J124" t="s">
        <v>378</v>
      </c>
      <c r="K124" t="s">
        <v>215</v>
      </c>
      <c r="L124" t="s">
        <v>216</v>
      </c>
      <c r="M124">
        <v>4640</v>
      </c>
      <c r="N124">
        <v>20780</v>
      </c>
      <c r="O124">
        <v>16140</v>
      </c>
      <c r="P124">
        <v>0</v>
      </c>
      <c r="Q124" t="s">
        <v>48</v>
      </c>
      <c r="R124" t="s">
        <v>49</v>
      </c>
      <c r="S124">
        <v>0</v>
      </c>
    </row>
    <row r="125" spans="1:19" hidden="1" x14ac:dyDescent="0.25">
      <c r="A125" t="s">
        <v>449</v>
      </c>
      <c r="C125" s="1">
        <v>46027</v>
      </c>
      <c r="D125" t="s">
        <v>45</v>
      </c>
      <c r="E125" t="s">
        <v>23</v>
      </c>
      <c r="F125" t="s">
        <v>24</v>
      </c>
      <c r="G125" t="s">
        <v>25</v>
      </c>
      <c r="I125" t="s">
        <v>450</v>
      </c>
      <c r="J125" t="s">
        <v>451</v>
      </c>
      <c r="K125" t="s">
        <v>441</v>
      </c>
      <c r="L125" t="s">
        <v>442</v>
      </c>
      <c r="M125">
        <v>2160</v>
      </c>
      <c r="N125">
        <v>17280</v>
      </c>
      <c r="O125">
        <v>15120</v>
      </c>
      <c r="P125">
        <v>0</v>
      </c>
      <c r="S125">
        <v>0</v>
      </c>
    </row>
    <row r="126" spans="1:19" hidden="1" x14ac:dyDescent="0.25">
      <c r="A126" t="s">
        <v>452</v>
      </c>
      <c r="B126" t="s">
        <v>453</v>
      </c>
      <c r="C126" s="1">
        <v>46027</v>
      </c>
      <c r="D126" t="s">
        <v>454</v>
      </c>
      <c r="E126" t="s">
        <v>220</v>
      </c>
      <c r="F126" t="s">
        <v>221</v>
      </c>
      <c r="G126" t="s">
        <v>221</v>
      </c>
      <c r="H126" t="s">
        <v>222</v>
      </c>
      <c r="I126" t="s">
        <v>19</v>
      </c>
      <c r="J126" t="s">
        <v>223</v>
      </c>
      <c r="K126" t="s">
        <v>28</v>
      </c>
      <c r="L126" t="s">
        <v>29</v>
      </c>
      <c r="M126">
        <v>19220</v>
      </c>
      <c r="N126">
        <v>37540</v>
      </c>
      <c r="O126">
        <v>18320</v>
      </c>
      <c r="P126">
        <v>0</v>
      </c>
      <c r="S126">
        <v>0</v>
      </c>
    </row>
    <row r="127" spans="1:19" hidden="1" x14ac:dyDescent="0.25">
      <c r="A127" t="s">
        <v>455</v>
      </c>
      <c r="C127" s="1">
        <v>46027</v>
      </c>
      <c r="D127" t="s">
        <v>76</v>
      </c>
      <c r="E127" t="s">
        <v>80</v>
      </c>
      <c r="F127" t="s">
        <v>77</v>
      </c>
      <c r="G127" t="s">
        <v>78</v>
      </c>
      <c r="H127" t="s">
        <v>456</v>
      </c>
      <c r="I127" t="s">
        <v>82</v>
      </c>
      <c r="J127" t="s">
        <v>83</v>
      </c>
      <c r="K127" t="s">
        <v>457</v>
      </c>
      <c r="L127" t="s">
        <v>458</v>
      </c>
      <c r="M127">
        <v>140</v>
      </c>
      <c r="N127">
        <v>2700</v>
      </c>
      <c r="O127">
        <v>2560</v>
      </c>
      <c r="P127">
        <v>0</v>
      </c>
      <c r="S127">
        <v>0</v>
      </c>
    </row>
    <row r="128" spans="1:19" hidden="1" x14ac:dyDescent="0.25">
      <c r="A128" t="s">
        <v>459</v>
      </c>
      <c r="C128" s="1">
        <v>46027</v>
      </c>
      <c r="D128" t="s">
        <v>71</v>
      </c>
      <c r="E128" t="s">
        <v>23</v>
      </c>
      <c r="F128" t="s">
        <v>24</v>
      </c>
      <c r="G128" t="s">
        <v>25</v>
      </c>
      <c r="I128" t="s">
        <v>460</v>
      </c>
      <c r="J128" t="s">
        <v>461</v>
      </c>
      <c r="K128" t="s">
        <v>462</v>
      </c>
      <c r="L128" t="s">
        <v>463</v>
      </c>
      <c r="M128">
        <v>3100</v>
      </c>
      <c r="N128">
        <v>17660</v>
      </c>
      <c r="O128">
        <v>14560</v>
      </c>
      <c r="P128">
        <v>0</v>
      </c>
      <c r="S128">
        <v>0</v>
      </c>
    </row>
    <row r="129" spans="1:19" hidden="1" x14ac:dyDescent="0.25">
      <c r="A129" t="s">
        <v>464</v>
      </c>
      <c r="C129" s="1">
        <v>46027</v>
      </c>
      <c r="D129" t="s">
        <v>76</v>
      </c>
      <c r="E129" t="s">
        <v>80</v>
      </c>
      <c r="F129" t="s">
        <v>77</v>
      </c>
      <c r="G129" t="s">
        <v>78</v>
      </c>
      <c r="H129" t="s">
        <v>465</v>
      </c>
      <c r="I129" t="s">
        <v>82</v>
      </c>
      <c r="J129" t="s">
        <v>83</v>
      </c>
      <c r="K129" t="s">
        <v>466</v>
      </c>
      <c r="L129" t="s">
        <v>467</v>
      </c>
      <c r="M129">
        <v>40</v>
      </c>
      <c r="N129">
        <v>2760</v>
      </c>
      <c r="O129">
        <v>2720</v>
      </c>
      <c r="P129">
        <v>0</v>
      </c>
      <c r="S129">
        <v>0</v>
      </c>
    </row>
    <row r="130" spans="1:19" x14ac:dyDescent="0.25">
      <c r="A130" t="s">
        <v>367</v>
      </c>
      <c r="B130" t="s">
        <v>368</v>
      </c>
      <c r="C130" s="1">
        <v>46027</v>
      </c>
      <c r="D130" t="s">
        <v>369</v>
      </c>
      <c r="E130" t="s">
        <v>91</v>
      </c>
      <c r="F130" t="s">
        <v>92</v>
      </c>
      <c r="G130" t="s">
        <v>93</v>
      </c>
      <c r="H130" t="s">
        <v>353</v>
      </c>
      <c r="I130" t="s">
        <v>354</v>
      </c>
      <c r="J130" t="s">
        <v>355</v>
      </c>
      <c r="K130" t="s">
        <v>28</v>
      </c>
      <c r="L130" t="s">
        <v>29</v>
      </c>
      <c r="M130">
        <v>5240</v>
      </c>
      <c r="N130">
        <v>19100</v>
      </c>
      <c r="O130">
        <v>13860</v>
      </c>
      <c r="P130">
        <v>0</v>
      </c>
      <c r="Q130" t="s">
        <v>48</v>
      </c>
      <c r="R130" t="s">
        <v>49</v>
      </c>
      <c r="S130">
        <v>0</v>
      </c>
    </row>
    <row r="131" spans="1:19" hidden="1" x14ac:dyDescent="0.25">
      <c r="A131" t="s">
        <v>470</v>
      </c>
      <c r="B131" t="s">
        <v>470</v>
      </c>
      <c r="C131" s="1">
        <v>46027</v>
      </c>
      <c r="D131" t="s">
        <v>76</v>
      </c>
      <c r="E131" t="s">
        <v>80</v>
      </c>
      <c r="F131" t="s">
        <v>77</v>
      </c>
      <c r="G131" t="s">
        <v>78</v>
      </c>
      <c r="H131" t="s">
        <v>471</v>
      </c>
      <c r="I131" t="s">
        <v>82</v>
      </c>
      <c r="J131" t="s">
        <v>83</v>
      </c>
      <c r="K131" t="s">
        <v>472</v>
      </c>
      <c r="L131" t="s">
        <v>473</v>
      </c>
      <c r="M131">
        <v>20</v>
      </c>
      <c r="N131">
        <v>2860</v>
      </c>
      <c r="O131">
        <v>2840</v>
      </c>
      <c r="P131">
        <v>0</v>
      </c>
      <c r="S131">
        <v>0</v>
      </c>
    </row>
    <row r="132" spans="1:19" hidden="1" x14ac:dyDescent="0.25">
      <c r="A132" t="s">
        <v>474</v>
      </c>
      <c r="B132" t="s">
        <v>474</v>
      </c>
      <c r="C132" s="1">
        <v>46027</v>
      </c>
      <c r="D132" t="s">
        <v>76</v>
      </c>
      <c r="E132" t="s">
        <v>80</v>
      </c>
      <c r="F132" t="s">
        <v>77</v>
      </c>
      <c r="G132" t="s">
        <v>78</v>
      </c>
      <c r="H132" t="s">
        <v>475</v>
      </c>
      <c r="I132" t="s">
        <v>82</v>
      </c>
      <c r="J132" t="s">
        <v>83</v>
      </c>
      <c r="K132" t="s">
        <v>298</v>
      </c>
      <c r="L132" t="s">
        <v>101</v>
      </c>
      <c r="M132">
        <v>20</v>
      </c>
      <c r="N132">
        <v>2880</v>
      </c>
      <c r="O132">
        <v>2860</v>
      </c>
      <c r="P132">
        <v>0</v>
      </c>
      <c r="S132">
        <v>0</v>
      </c>
    </row>
    <row r="133" spans="1:19" hidden="1" x14ac:dyDescent="0.25">
      <c r="A133" t="s">
        <v>476</v>
      </c>
      <c r="B133" t="s">
        <v>477</v>
      </c>
      <c r="C133" s="1">
        <v>46027</v>
      </c>
      <c r="D133" t="s">
        <v>52</v>
      </c>
      <c r="E133" t="s">
        <v>23</v>
      </c>
      <c r="F133" t="s">
        <v>24</v>
      </c>
      <c r="G133" t="s">
        <v>25</v>
      </c>
      <c r="I133" t="s">
        <v>478</v>
      </c>
      <c r="J133" t="s">
        <v>479</v>
      </c>
      <c r="K133" t="s">
        <v>196</v>
      </c>
      <c r="L133" t="s">
        <v>197</v>
      </c>
      <c r="M133">
        <v>1800</v>
      </c>
      <c r="N133">
        <v>18300</v>
      </c>
      <c r="O133">
        <v>16500</v>
      </c>
      <c r="P133">
        <v>0</v>
      </c>
      <c r="Q133" t="s">
        <v>99</v>
      </c>
      <c r="R133" t="s">
        <v>100</v>
      </c>
      <c r="S133">
        <v>200</v>
      </c>
    </row>
    <row r="134" spans="1:19" hidden="1" x14ac:dyDescent="0.25">
      <c r="A134" t="s">
        <v>480</v>
      </c>
      <c r="B134" t="s">
        <v>481</v>
      </c>
      <c r="C134" s="1">
        <v>46027</v>
      </c>
      <c r="D134" t="s">
        <v>372</v>
      </c>
      <c r="E134" t="s">
        <v>373</v>
      </c>
      <c r="F134" t="s">
        <v>92</v>
      </c>
      <c r="G134" t="s">
        <v>93</v>
      </c>
      <c r="H134" t="s">
        <v>376</v>
      </c>
      <c r="I134" t="s">
        <v>377</v>
      </c>
      <c r="J134" t="s">
        <v>378</v>
      </c>
      <c r="K134" t="s">
        <v>215</v>
      </c>
      <c r="L134" t="s">
        <v>216</v>
      </c>
      <c r="M134">
        <v>3800</v>
      </c>
      <c r="N134">
        <v>19760</v>
      </c>
      <c r="O134">
        <v>15960</v>
      </c>
      <c r="P134">
        <v>0</v>
      </c>
      <c r="Q134" t="s">
        <v>48</v>
      </c>
      <c r="R134" t="s">
        <v>49</v>
      </c>
      <c r="S134">
        <v>0</v>
      </c>
    </row>
    <row r="135" spans="1:19" hidden="1" x14ac:dyDescent="0.25">
      <c r="A135" t="s">
        <v>482</v>
      </c>
      <c r="B135" t="s">
        <v>482</v>
      </c>
      <c r="C135" s="1">
        <v>46027</v>
      </c>
      <c r="D135" t="s">
        <v>483</v>
      </c>
      <c r="E135" t="s">
        <v>484</v>
      </c>
      <c r="F135" t="s">
        <v>485</v>
      </c>
      <c r="G135" t="s">
        <v>486</v>
      </c>
      <c r="H135" t="s">
        <v>487</v>
      </c>
      <c r="I135" t="s">
        <v>62</v>
      </c>
      <c r="J135" t="s">
        <v>488</v>
      </c>
      <c r="K135" t="s">
        <v>457</v>
      </c>
      <c r="L135" t="s">
        <v>458</v>
      </c>
      <c r="M135">
        <v>220</v>
      </c>
      <c r="N135">
        <v>8920</v>
      </c>
      <c r="O135">
        <v>8700</v>
      </c>
      <c r="P135">
        <v>0</v>
      </c>
      <c r="S135">
        <v>0</v>
      </c>
    </row>
    <row r="136" spans="1:19" hidden="1" x14ac:dyDescent="0.25">
      <c r="A136" t="s">
        <v>489</v>
      </c>
      <c r="B136" t="s">
        <v>490</v>
      </c>
      <c r="C136" s="1">
        <v>46027</v>
      </c>
      <c r="D136" t="s">
        <v>45</v>
      </c>
      <c r="E136" t="s">
        <v>23</v>
      </c>
      <c r="F136" t="s">
        <v>24</v>
      </c>
      <c r="G136" t="s">
        <v>25</v>
      </c>
      <c r="I136" t="s">
        <v>492</v>
      </c>
      <c r="J136" t="s">
        <v>491</v>
      </c>
      <c r="K136" t="s">
        <v>284</v>
      </c>
      <c r="L136" t="s">
        <v>285</v>
      </c>
      <c r="M136">
        <v>4800</v>
      </c>
      <c r="N136">
        <v>19540</v>
      </c>
      <c r="O136">
        <v>14740</v>
      </c>
      <c r="P136">
        <v>100</v>
      </c>
      <c r="Q136" t="s">
        <v>99</v>
      </c>
      <c r="R136" t="s">
        <v>100</v>
      </c>
      <c r="S136">
        <v>0</v>
      </c>
    </row>
    <row r="137" spans="1:19" hidden="1" x14ac:dyDescent="0.25">
      <c r="A137" t="s">
        <v>493</v>
      </c>
      <c r="B137" t="s">
        <v>494</v>
      </c>
      <c r="C137" s="1">
        <v>46027</v>
      </c>
      <c r="D137" t="s">
        <v>495</v>
      </c>
      <c r="E137" t="s">
        <v>166</v>
      </c>
      <c r="F137" t="s">
        <v>167</v>
      </c>
      <c r="G137" t="s">
        <v>168</v>
      </c>
      <c r="H137" t="s">
        <v>496</v>
      </c>
      <c r="I137" t="s">
        <v>170</v>
      </c>
      <c r="J137" t="s">
        <v>171</v>
      </c>
      <c r="K137" t="s">
        <v>284</v>
      </c>
      <c r="L137" t="s">
        <v>285</v>
      </c>
      <c r="M137">
        <v>80</v>
      </c>
      <c r="N137">
        <v>3020</v>
      </c>
      <c r="O137">
        <v>2940</v>
      </c>
      <c r="P137">
        <v>0</v>
      </c>
      <c r="Q137" t="s">
        <v>99</v>
      </c>
      <c r="R137" t="s">
        <v>100</v>
      </c>
      <c r="S137">
        <v>0</v>
      </c>
    </row>
    <row r="138" spans="1:19" hidden="1" x14ac:dyDescent="0.25">
      <c r="A138" t="s">
        <v>498</v>
      </c>
      <c r="B138" t="s">
        <v>499</v>
      </c>
      <c r="C138" s="1">
        <v>46027</v>
      </c>
      <c r="D138" t="s">
        <v>52</v>
      </c>
      <c r="E138" t="s">
        <v>23</v>
      </c>
      <c r="F138" t="s">
        <v>24</v>
      </c>
      <c r="G138" t="s">
        <v>25</v>
      </c>
      <c r="I138" t="s">
        <v>478</v>
      </c>
      <c r="J138" t="s">
        <v>479</v>
      </c>
      <c r="K138" t="s">
        <v>500</v>
      </c>
      <c r="L138" t="s">
        <v>497</v>
      </c>
      <c r="M138">
        <v>686</v>
      </c>
      <c r="N138">
        <v>15546</v>
      </c>
      <c r="O138">
        <v>14860</v>
      </c>
      <c r="P138">
        <v>0</v>
      </c>
      <c r="Q138" t="s">
        <v>99</v>
      </c>
      <c r="R138" t="s">
        <v>100</v>
      </c>
      <c r="S138">
        <v>94</v>
      </c>
    </row>
    <row r="139" spans="1:19" x14ac:dyDescent="0.25">
      <c r="A139" t="s">
        <v>907</v>
      </c>
      <c r="C139" s="1">
        <v>46032</v>
      </c>
      <c r="D139" t="s">
        <v>352</v>
      </c>
      <c r="E139" t="s">
        <v>91</v>
      </c>
      <c r="F139" t="s">
        <v>92</v>
      </c>
      <c r="G139" t="s">
        <v>93</v>
      </c>
      <c r="H139" t="s">
        <v>353</v>
      </c>
      <c r="I139" t="s">
        <v>354</v>
      </c>
      <c r="J139" t="s">
        <v>355</v>
      </c>
      <c r="K139" t="s">
        <v>28</v>
      </c>
      <c r="L139" t="s">
        <v>29</v>
      </c>
      <c r="M139">
        <v>3480</v>
      </c>
      <c r="N139">
        <v>21020</v>
      </c>
      <c r="O139">
        <v>17540</v>
      </c>
      <c r="P139">
        <v>0</v>
      </c>
      <c r="S139">
        <v>0</v>
      </c>
    </row>
    <row r="140" spans="1:19" hidden="1" x14ac:dyDescent="0.25">
      <c r="A140" t="s">
        <v>505</v>
      </c>
      <c r="B140" t="s">
        <v>506</v>
      </c>
      <c r="C140" s="1">
        <v>46028</v>
      </c>
      <c r="D140" t="s">
        <v>507</v>
      </c>
      <c r="E140" t="s">
        <v>238</v>
      </c>
      <c r="F140" t="s">
        <v>239</v>
      </c>
      <c r="G140" t="s">
        <v>240</v>
      </c>
      <c r="H140" t="s">
        <v>508</v>
      </c>
      <c r="I140" t="s">
        <v>509</v>
      </c>
      <c r="J140" t="s">
        <v>510</v>
      </c>
      <c r="K140" t="s">
        <v>215</v>
      </c>
      <c r="L140" t="s">
        <v>216</v>
      </c>
      <c r="M140">
        <v>1340</v>
      </c>
      <c r="N140">
        <v>16660</v>
      </c>
      <c r="O140">
        <v>15320</v>
      </c>
      <c r="P140">
        <v>0</v>
      </c>
      <c r="Q140" t="s">
        <v>48</v>
      </c>
      <c r="R140" t="s">
        <v>49</v>
      </c>
      <c r="S140">
        <v>0</v>
      </c>
    </row>
    <row r="141" spans="1:19" x14ac:dyDescent="0.25">
      <c r="C141" s="1"/>
      <c r="M141" s="2">
        <f>SUBTOTAL(9,M123:M140)</f>
        <v>14160</v>
      </c>
    </row>
    <row r="142" spans="1:19" x14ac:dyDescent="0.25">
      <c r="A142" t="s">
        <v>567</v>
      </c>
      <c r="B142" t="s">
        <v>568</v>
      </c>
      <c r="C142" s="1">
        <v>46028</v>
      </c>
      <c r="D142" t="s">
        <v>369</v>
      </c>
      <c r="E142" t="s">
        <v>91</v>
      </c>
      <c r="F142" t="s">
        <v>92</v>
      </c>
      <c r="G142" t="s">
        <v>93</v>
      </c>
      <c r="H142" t="s">
        <v>569</v>
      </c>
      <c r="I142" t="s">
        <v>354</v>
      </c>
      <c r="J142" t="s">
        <v>355</v>
      </c>
      <c r="K142" t="s">
        <v>196</v>
      </c>
      <c r="L142" t="s">
        <v>197</v>
      </c>
      <c r="M142">
        <v>1375</v>
      </c>
      <c r="N142">
        <v>15155</v>
      </c>
      <c r="O142">
        <v>13780</v>
      </c>
      <c r="P142">
        <v>0</v>
      </c>
      <c r="Q142" t="s">
        <v>99</v>
      </c>
      <c r="R142" t="s">
        <v>100</v>
      </c>
      <c r="S142">
        <v>205</v>
      </c>
    </row>
    <row r="143" spans="1:19" hidden="1" x14ac:dyDescent="0.25">
      <c r="A143" t="s">
        <v>513</v>
      </c>
      <c r="B143" t="s">
        <v>514</v>
      </c>
      <c r="C143" s="1">
        <v>46028</v>
      </c>
      <c r="D143" t="s">
        <v>515</v>
      </c>
      <c r="E143" t="s">
        <v>373</v>
      </c>
      <c r="F143" t="s">
        <v>92</v>
      </c>
      <c r="G143" t="s">
        <v>93</v>
      </c>
      <c r="H143" t="s">
        <v>516</v>
      </c>
      <c r="I143" t="s">
        <v>517</v>
      </c>
      <c r="J143" t="s">
        <v>518</v>
      </c>
      <c r="K143" t="s">
        <v>215</v>
      </c>
      <c r="L143" t="s">
        <v>216</v>
      </c>
      <c r="M143">
        <v>1720</v>
      </c>
      <c r="N143">
        <v>18640</v>
      </c>
      <c r="O143">
        <v>16920</v>
      </c>
      <c r="P143">
        <v>0</v>
      </c>
      <c r="Q143" t="s">
        <v>48</v>
      </c>
      <c r="R143" t="s">
        <v>49</v>
      </c>
      <c r="S143">
        <v>0</v>
      </c>
    </row>
    <row r="144" spans="1:19" hidden="1" x14ac:dyDescent="0.25">
      <c r="A144" t="s">
        <v>519</v>
      </c>
      <c r="B144" t="s">
        <v>520</v>
      </c>
      <c r="C144" s="1">
        <v>46028</v>
      </c>
      <c r="D144" t="s">
        <v>521</v>
      </c>
      <c r="E144" t="s">
        <v>211</v>
      </c>
      <c r="F144" t="s">
        <v>212</v>
      </c>
      <c r="G144" t="s">
        <v>213</v>
      </c>
      <c r="H144" t="s">
        <v>522</v>
      </c>
      <c r="I144" t="s">
        <v>62</v>
      </c>
      <c r="J144" t="s">
        <v>137</v>
      </c>
      <c r="K144" t="s">
        <v>523</v>
      </c>
      <c r="L144" t="s">
        <v>524</v>
      </c>
      <c r="M144">
        <v>4600</v>
      </c>
      <c r="N144">
        <v>22300</v>
      </c>
      <c r="O144">
        <v>17700</v>
      </c>
      <c r="P144">
        <v>0</v>
      </c>
      <c r="S144">
        <v>0</v>
      </c>
    </row>
    <row r="145" spans="1:19" hidden="1" x14ac:dyDescent="0.25">
      <c r="A145" t="s">
        <v>525</v>
      </c>
      <c r="B145" t="s">
        <v>526</v>
      </c>
      <c r="C145" s="1">
        <v>46028</v>
      </c>
      <c r="D145" t="s">
        <v>527</v>
      </c>
      <c r="E145" t="s">
        <v>220</v>
      </c>
      <c r="F145" t="s">
        <v>528</v>
      </c>
      <c r="G145" t="s">
        <v>529</v>
      </c>
      <c r="H145" t="s">
        <v>222</v>
      </c>
      <c r="I145" t="s">
        <v>19</v>
      </c>
      <c r="J145" t="s">
        <v>223</v>
      </c>
      <c r="K145" t="s">
        <v>28</v>
      </c>
      <c r="L145" t="s">
        <v>29</v>
      </c>
      <c r="M145">
        <v>16620</v>
      </c>
      <c r="N145">
        <v>34540</v>
      </c>
      <c r="O145">
        <v>17920</v>
      </c>
      <c r="P145">
        <v>0</v>
      </c>
      <c r="S145">
        <v>0</v>
      </c>
    </row>
    <row r="146" spans="1:19" hidden="1" x14ac:dyDescent="0.25">
      <c r="A146" t="s">
        <v>530</v>
      </c>
      <c r="B146" t="s">
        <v>531</v>
      </c>
      <c r="C146" s="1">
        <v>46028</v>
      </c>
      <c r="D146" t="s">
        <v>45</v>
      </c>
      <c r="E146" t="s">
        <v>23</v>
      </c>
      <c r="F146" t="s">
        <v>24</v>
      </c>
      <c r="G146" t="s">
        <v>25</v>
      </c>
      <c r="I146" t="s">
        <v>206</v>
      </c>
      <c r="J146" t="s">
        <v>207</v>
      </c>
      <c r="K146" t="s">
        <v>28</v>
      </c>
      <c r="L146" t="s">
        <v>29</v>
      </c>
      <c r="M146">
        <v>5520</v>
      </c>
      <c r="N146">
        <v>23420</v>
      </c>
      <c r="O146">
        <v>17900</v>
      </c>
      <c r="P146">
        <v>0</v>
      </c>
      <c r="S146">
        <v>0</v>
      </c>
    </row>
    <row r="147" spans="1:19" hidden="1" x14ac:dyDescent="0.25">
      <c r="A147" t="s">
        <v>532</v>
      </c>
      <c r="B147" t="s">
        <v>533</v>
      </c>
      <c r="C147" s="1">
        <v>46028</v>
      </c>
      <c r="D147" t="s">
        <v>357</v>
      </c>
      <c r="E147" t="s">
        <v>134</v>
      </c>
      <c r="F147" t="s">
        <v>92</v>
      </c>
      <c r="G147" t="s">
        <v>93</v>
      </c>
      <c r="H147" t="s">
        <v>534</v>
      </c>
      <c r="I147" t="s">
        <v>136</v>
      </c>
      <c r="J147" t="s">
        <v>137</v>
      </c>
      <c r="K147" t="s">
        <v>200</v>
      </c>
      <c r="L147" t="s">
        <v>201</v>
      </c>
      <c r="M147">
        <v>3420</v>
      </c>
      <c r="N147">
        <v>16380</v>
      </c>
      <c r="O147">
        <v>12960</v>
      </c>
      <c r="P147">
        <v>0</v>
      </c>
      <c r="Q147" t="s">
        <v>99</v>
      </c>
      <c r="R147" t="s">
        <v>100</v>
      </c>
      <c r="S147">
        <v>0</v>
      </c>
    </row>
    <row r="148" spans="1:19" hidden="1" x14ac:dyDescent="0.25">
      <c r="A148" t="s">
        <v>535</v>
      </c>
      <c r="B148" t="s">
        <v>536</v>
      </c>
      <c r="C148" s="1">
        <v>46028</v>
      </c>
      <c r="D148" t="s">
        <v>76</v>
      </c>
      <c r="E148" t="s">
        <v>80</v>
      </c>
      <c r="F148" t="s">
        <v>77</v>
      </c>
      <c r="G148" t="s">
        <v>78</v>
      </c>
      <c r="H148" t="s">
        <v>537</v>
      </c>
      <c r="I148" t="s">
        <v>82</v>
      </c>
      <c r="J148" t="s">
        <v>83</v>
      </c>
      <c r="K148" t="s">
        <v>157</v>
      </c>
      <c r="L148" t="s">
        <v>158</v>
      </c>
      <c r="M148">
        <v>40</v>
      </c>
      <c r="N148">
        <v>2920</v>
      </c>
      <c r="O148">
        <v>2880</v>
      </c>
      <c r="P148">
        <v>0</v>
      </c>
      <c r="Q148" t="s">
        <v>99</v>
      </c>
      <c r="R148" t="s">
        <v>100</v>
      </c>
      <c r="S148">
        <v>0</v>
      </c>
    </row>
    <row r="149" spans="1:19" x14ac:dyDescent="0.25">
      <c r="C149" s="1"/>
      <c r="M149" s="2">
        <f>SUBTOTAL(9,M142:M148)</f>
        <v>1375</v>
      </c>
    </row>
    <row r="150" spans="1:19" x14ac:dyDescent="0.25">
      <c r="A150" t="s">
        <v>269</v>
      </c>
      <c r="B150" t="s">
        <v>270</v>
      </c>
      <c r="C150" s="1">
        <v>46024</v>
      </c>
      <c r="D150" t="s">
        <v>133</v>
      </c>
      <c r="E150" t="s">
        <v>91</v>
      </c>
      <c r="F150" t="s">
        <v>92</v>
      </c>
      <c r="G150" t="s">
        <v>93</v>
      </c>
      <c r="H150" t="s">
        <v>271</v>
      </c>
      <c r="I150" t="s">
        <v>194</v>
      </c>
      <c r="J150" t="s">
        <v>195</v>
      </c>
      <c r="K150" t="s">
        <v>28</v>
      </c>
      <c r="L150" t="s">
        <v>29</v>
      </c>
      <c r="M150">
        <v>3900</v>
      </c>
      <c r="N150">
        <v>18180</v>
      </c>
      <c r="O150">
        <v>14280</v>
      </c>
      <c r="P150">
        <v>0</v>
      </c>
      <c r="Q150" t="s">
        <v>48</v>
      </c>
      <c r="R150" t="s">
        <v>49</v>
      </c>
      <c r="S150">
        <v>0</v>
      </c>
    </row>
    <row r="151" spans="1:19" hidden="1" x14ac:dyDescent="0.25">
      <c r="A151" t="s">
        <v>540</v>
      </c>
      <c r="C151" s="1">
        <v>46028</v>
      </c>
      <c r="D151" t="s">
        <v>76</v>
      </c>
      <c r="E151" t="s">
        <v>80</v>
      </c>
      <c r="F151" t="s">
        <v>77</v>
      </c>
      <c r="G151" t="s">
        <v>78</v>
      </c>
      <c r="H151" t="s">
        <v>475</v>
      </c>
      <c r="I151" t="s">
        <v>82</v>
      </c>
      <c r="J151" t="s">
        <v>83</v>
      </c>
      <c r="K151" t="s">
        <v>298</v>
      </c>
      <c r="L151" t="s">
        <v>101</v>
      </c>
      <c r="M151">
        <v>20</v>
      </c>
      <c r="N151">
        <v>2880</v>
      </c>
      <c r="O151">
        <v>2860</v>
      </c>
      <c r="P151">
        <v>0</v>
      </c>
      <c r="S151">
        <v>0</v>
      </c>
    </row>
    <row r="152" spans="1:19" hidden="1" x14ac:dyDescent="0.25">
      <c r="A152" t="s">
        <v>541</v>
      </c>
      <c r="B152" t="s">
        <v>542</v>
      </c>
      <c r="C152" s="1">
        <v>46028</v>
      </c>
      <c r="D152" t="s">
        <v>76</v>
      </c>
      <c r="E152" t="s">
        <v>80</v>
      </c>
      <c r="F152" t="s">
        <v>77</v>
      </c>
      <c r="G152" t="s">
        <v>78</v>
      </c>
      <c r="H152" t="s">
        <v>465</v>
      </c>
      <c r="I152" t="s">
        <v>82</v>
      </c>
      <c r="J152" t="s">
        <v>83</v>
      </c>
      <c r="K152" t="s">
        <v>466</v>
      </c>
      <c r="L152" t="s">
        <v>467</v>
      </c>
      <c r="M152">
        <v>20</v>
      </c>
      <c r="N152">
        <v>2860</v>
      </c>
      <c r="O152">
        <v>2840</v>
      </c>
      <c r="P152">
        <v>0</v>
      </c>
      <c r="Q152" t="s">
        <v>99</v>
      </c>
      <c r="R152" t="s">
        <v>100</v>
      </c>
      <c r="S152">
        <v>0</v>
      </c>
    </row>
    <row r="153" spans="1:19" hidden="1" x14ac:dyDescent="0.25">
      <c r="A153" t="s">
        <v>543</v>
      </c>
      <c r="C153" s="1">
        <v>46028</v>
      </c>
      <c r="D153" t="s">
        <v>76</v>
      </c>
      <c r="E153" t="s">
        <v>80</v>
      </c>
      <c r="F153" t="s">
        <v>77</v>
      </c>
      <c r="G153" t="s">
        <v>78</v>
      </c>
      <c r="H153" t="s">
        <v>471</v>
      </c>
      <c r="I153" t="s">
        <v>82</v>
      </c>
      <c r="J153" t="s">
        <v>83</v>
      </c>
      <c r="K153" t="s">
        <v>472</v>
      </c>
      <c r="L153" t="s">
        <v>473</v>
      </c>
      <c r="M153">
        <v>20</v>
      </c>
      <c r="N153">
        <v>2840</v>
      </c>
      <c r="O153">
        <v>2820</v>
      </c>
      <c r="P153">
        <v>0</v>
      </c>
      <c r="S153">
        <v>0</v>
      </c>
    </row>
    <row r="154" spans="1:19" hidden="1" x14ac:dyDescent="0.25">
      <c r="A154" t="s">
        <v>544</v>
      </c>
      <c r="B154" t="s">
        <v>545</v>
      </c>
      <c r="C154" s="1">
        <v>46028</v>
      </c>
      <c r="D154" t="s">
        <v>546</v>
      </c>
      <c r="E154" t="s">
        <v>134</v>
      </c>
      <c r="F154" t="s">
        <v>92</v>
      </c>
      <c r="G154" t="s">
        <v>93</v>
      </c>
      <c r="H154" t="s">
        <v>547</v>
      </c>
      <c r="I154" t="s">
        <v>136</v>
      </c>
      <c r="J154" t="s">
        <v>137</v>
      </c>
      <c r="K154" t="s">
        <v>548</v>
      </c>
      <c r="L154" t="s">
        <v>549</v>
      </c>
      <c r="M154">
        <v>933</v>
      </c>
      <c r="N154">
        <v>9173</v>
      </c>
      <c r="O154">
        <v>8240</v>
      </c>
      <c r="P154">
        <v>8</v>
      </c>
      <c r="Q154" t="s">
        <v>99</v>
      </c>
      <c r="R154" t="s">
        <v>100</v>
      </c>
      <c r="S154">
        <v>127</v>
      </c>
    </row>
    <row r="155" spans="1:19" hidden="1" x14ac:dyDescent="0.25">
      <c r="A155" t="s">
        <v>550</v>
      </c>
      <c r="C155" s="1">
        <v>46028</v>
      </c>
      <c r="D155" t="s">
        <v>76</v>
      </c>
      <c r="E155" t="s">
        <v>80</v>
      </c>
      <c r="F155" t="s">
        <v>77</v>
      </c>
      <c r="G155" t="s">
        <v>78</v>
      </c>
      <c r="H155" t="s">
        <v>465</v>
      </c>
      <c r="I155" t="s">
        <v>82</v>
      </c>
      <c r="J155" t="s">
        <v>83</v>
      </c>
      <c r="K155" t="s">
        <v>466</v>
      </c>
      <c r="L155" t="s">
        <v>467</v>
      </c>
      <c r="M155">
        <v>20</v>
      </c>
      <c r="N155">
        <v>2920</v>
      </c>
      <c r="O155">
        <v>2900</v>
      </c>
      <c r="P155">
        <v>0</v>
      </c>
      <c r="S155">
        <v>0</v>
      </c>
    </row>
    <row r="156" spans="1:19" hidden="1" x14ac:dyDescent="0.25">
      <c r="A156" t="s">
        <v>551</v>
      </c>
      <c r="C156" s="1">
        <v>46028</v>
      </c>
      <c r="D156" t="s">
        <v>76</v>
      </c>
      <c r="E156" t="s">
        <v>80</v>
      </c>
      <c r="F156" t="s">
        <v>77</v>
      </c>
      <c r="G156" t="s">
        <v>78</v>
      </c>
      <c r="H156" t="s">
        <v>471</v>
      </c>
      <c r="I156" t="s">
        <v>82</v>
      </c>
      <c r="J156" t="s">
        <v>83</v>
      </c>
      <c r="K156" t="s">
        <v>472</v>
      </c>
      <c r="L156" t="s">
        <v>473</v>
      </c>
      <c r="M156">
        <v>20</v>
      </c>
      <c r="N156">
        <v>2940</v>
      </c>
      <c r="O156">
        <v>2920</v>
      </c>
      <c r="P156">
        <v>0</v>
      </c>
      <c r="S156">
        <v>0</v>
      </c>
    </row>
    <row r="157" spans="1:19" hidden="1" x14ac:dyDescent="0.25">
      <c r="A157" t="s">
        <v>552</v>
      </c>
      <c r="C157" s="1">
        <v>46028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62</v>
      </c>
      <c r="J157" t="s">
        <v>137</v>
      </c>
      <c r="K157" t="s">
        <v>215</v>
      </c>
      <c r="L157" t="s">
        <v>216</v>
      </c>
      <c r="M157">
        <v>1440</v>
      </c>
      <c r="N157">
        <v>15560</v>
      </c>
      <c r="O157">
        <v>14120</v>
      </c>
      <c r="P157">
        <v>0</v>
      </c>
      <c r="S157">
        <v>0</v>
      </c>
    </row>
    <row r="158" spans="1:19" hidden="1" x14ac:dyDescent="0.25">
      <c r="A158" t="s">
        <v>553</v>
      </c>
      <c r="C158" s="1">
        <v>46028</v>
      </c>
      <c r="D158" t="s">
        <v>45</v>
      </c>
      <c r="E158" t="s">
        <v>23</v>
      </c>
      <c r="F158" t="s">
        <v>24</v>
      </c>
      <c r="G158" t="s">
        <v>25</v>
      </c>
      <c r="I158" t="s">
        <v>555</v>
      </c>
      <c r="J158" t="s">
        <v>554</v>
      </c>
      <c r="K158" t="s">
        <v>472</v>
      </c>
      <c r="L158" t="s">
        <v>473</v>
      </c>
      <c r="M158">
        <v>2088</v>
      </c>
      <c r="N158">
        <v>19348</v>
      </c>
      <c r="O158">
        <v>17260</v>
      </c>
      <c r="P158">
        <v>0</v>
      </c>
      <c r="S158">
        <v>312</v>
      </c>
    </row>
    <row r="159" spans="1:19" hidden="1" x14ac:dyDescent="0.25">
      <c r="A159" t="s">
        <v>556</v>
      </c>
      <c r="C159" s="1">
        <v>46028</v>
      </c>
      <c r="D159" t="s">
        <v>437</v>
      </c>
      <c r="E159" t="s">
        <v>220</v>
      </c>
      <c r="F159" t="s">
        <v>438</v>
      </c>
      <c r="G159" t="s">
        <v>439</v>
      </c>
      <c r="H159" t="s">
        <v>557</v>
      </c>
      <c r="I159" t="s">
        <v>19</v>
      </c>
      <c r="J159" t="s">
        <v>223</v>
      </c>
      <c r="K159" t="s">
        <v>462</v>
      </c>
      <c r="L159" t="s">
        <v>463</v>
      </c>
      <c r="M159">
        <v>21320</v>
      </c>
      <c r="N159">
        <v>39760</v>
      </c>
      <c r="O159">
        <v>18440</v>
      </c>
      <c r="P159">
        <v>0</v>
      </c>
      <c r="S159">
        <v>0</v>
      </c>
    </row>
    <row r="160" spans="1:19" hidden="1" x14ac:dyDescent="0.25">
      <c r="A160" t="s">
        <v>558</v>
      </c>
      <c r="C160" s="1">
        <v>46028</v>
      </c>
      <c r="D160" t="s">
        <v>52</v>
      </c>
      <c r="E160" t="s">
        <v>23</v>
      </c>
      <c r="F160" t="s">
        <v>24</v>
      </c>
      <c r="G160" t="s">
        <v>25</v>
      </c>
      <c r="I160" t="s">
        <v>559</v>
      </c>
      <c r="J160" t="s">
        <v>560</v>
      </c>
      <c r="K160" t="s">
        <v>441</v>
      </c>
      <c r="L160" t="s">
        <v>442</v>
      </c>
      <c r="M160">
        <v>1620</v>
      </c>
      <c r="N160">
        <v>17280</v>
      </c>
      <c r="O160">
        <v>15660</v>
      </c>
      <c r="P160">
        <v>0</v>
      </c>
      <c r="S160">
        <v>0</v>
      </c>
    </row>
    <row r="161" spans="1:19" hidden="1" x14ac:dyDescent="0.25">
      <c r="A161" t="s">
        <v>561</v>
      </c>
      <c r="B161" t="s">
        <v>562</v>
      </c>
      <c r="C161" s="1">
        <v>46028</v>
      </c>
      <c r="D161" t="s">
        <v>45</v>
      </c>
      <c r="E161" t="s">
        <v>23</v>
      </c>
      <c r="F161" t="s">
        <v>24</v>
      </c>
      <c r="G161" t="s">
        <v>25</v>
      </c>
      <c r="I161" t="s">
        <v>563</v>
      </c>
      <c r="J161" t="s">
        <v>564</v>
      </c>
      <c r="K161" t="s">
        <v>472</v>
      </c>
      <c r="L161" t="s">
        <v>473</v>
      </c>
      <c r="M161">
        <v>289</v>
      </c>
      <c r="N161">
        <v>14549</v>
      </c>
      <c r="O161">
        <v>14260</v>
      </c>
      <c r="P161">
        <v>0</v>
      </c>
      <c r="Q161" t="s">
        <v>99</v>
      </c>
      <c r="R161" t="s">
        <v>100</v>
      </c>
      <c r="S161">
        <v>51</v>
      </c>
    </row>
    <row r="162" spans="1:19" hidden="1" x14ac:dyDescent="0.25">
      <c r="A162" t="s">
        <v>565</v>
      </c>
      <c r="B162" t="s">
        <v>566</v>
      </c>
      <c r="C162" s="1">
        <v>46028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62</v>
      </c>
      <c r="J162" t="s">
        <v>137</v>
      </c>
      <c r="K162" t="s">
        <v>215</v>
      </c>
      <c r="L162" t="s">
        <v>216</v>
      </c>
      <c r="M162">
        <v>800</v>
      </c>
      <c r="N162">
        <v>15140</v>
      </c>
      <c r="O162">
        <v>14340</v>
      </c>
      <c r="P162">
        <v>0</v>
      </c>
      <c r="S162">
        <v>0</v>
      </c>
    </row>
    <row r="163" spans="1:19" x14ac:dyDescent="0.25">
      <c r="A163" t="s">
        <v>309</v>
      </c>
      <c r="B163" t="s">
        <v>310</v>
      </c>
      <c r="C163" s="1">
        <v>46024</v>
      </c>
      <c r="D163" t="s">
        <v>311</v>
      </c>
      <c r="E163" t="s">
        <v>91</v>
      </c>
      <c r="F163" t="s">
        <v>92</v>
      </c>
      <c r="G163" t="s">
        <v>93</v>
      </c>
      <c r="H163" t="s">
        <v>271</v>
      </c>
      <c r="I163" t="s">
        <v>194</v>
      </c>
      <c r="J163" t="s">
        <v>195</v>
      </c>
      <c r="K163" t="s">
        <v>28</v>
      </c>
      <c r="L163" t="s">
        <v>29</v>
      </c>
      <c r="M163">
        <v>3000</v>
      </c>
      <c r="N163">
        <v>16460</v>
      </c>
      <c r="O163">
        <v>13460</v>
      </c>
      <c r="P163">
        <v>0</v>
      </c>
      <c r="Q163" t="s">
        <v>48</v>
      </c>
      <c r="R163" t="s">
        <v>49</v>
      </c>
      <c r="S163">
        <v>0</v>
      </c>
    </row>
    <row r="164" spans="1:19" hidden="1" x14ac:dyDescent="0.25">
      <c r="A164" t="s">
        <v>570</v>
      </c>
      <c r="B164" t="s">
        <v>571</v>
      </c>
      <c r="C164" s="1">
        <v>46028</v>
      </c>
      <c r="D164" t="s">
        <v>572</v>
      </c>
      <c r="E164" t="s">
        <v>573</v>
      </c>
      <c r="F164" t="s">
        <v>574</v>
      </c>
      <c r="G164" t="s">
        <v>575</v>
      </c>
      <c r="H164" t="s">
        <v>576</v>
      </c>
      <c r="I164" t="s">
        <v>577</v>
      </c>
      <c r="J164" t="s">
        <v>578</v>
      </c>
      <c r="K164" t="s">
        <v>196</v>
      </c>
      <c r="L164" t="s">
        <v>197</v>
      </c>
      <c r="M164">
        <v>95</v>
      </c>
      <c r="N164">
        <v>3475</v>
      </c>
      <c r="O164">
        <v>3380</v>
      </c>
      <c r="P164">
        <v>0</v>
      </c>
      <c r="Q164" t="s">
        <v>99</v>
      </c>
      <c r="R164" t="s">
        <v>100</v>
      </c>
      <c r="S164">
        <v>5</v>
      </c>
    </row>
    <row r="165" spans="1:19" hidden="1" x14ac:dyDescent="0.25">
      <c r="A165" t="s">
        <v>579</v>
      </c>
      <c r="B165" t="s">
        <v>580</v>
      </c>
      <c r="C165" s="1">
        <v>46028</v>
      </c>
      <c r="D165" t="s">
        <v>52</v>
      </c>
      <c r="E165" t="s">
        <v>23</v>
      </c>
      <c r="F165" t="s">
        <v>24</v>
      </c>
      <c r="G165" t="s">
        <v>25</v>
      </c>
      <c r="I165" t="s">
        <v>559</v>
      </c>
      <c r="J165" t="s">
        <v>560</v>
      </c>
      <c r="K165" t="s">
        <v>462</v>
      </c>
      <c r="L165" t="s">
        <v>463</v>
      </c>
      <c r="M165">
        <v>2140</v>
      </c>
      <c r="N165">
        <v>17340</v>
      </c>
      <c r="O165">
        <v>15200</v>
      </c>
      <c r="P165">
        <v>0</v>
      </c>
      <c r="Q165" t="s">
        <v>99</v>
      </c>
      <c r="R165" t="s">
        <v>100</v>
      </c>
      <c r="S165">
        <v>0</v>
      </c>
    </row>
    <row r="166" spans="1:19" hidden="1" x14ac:dyDescent="0.25">
      <c r="A166" t="s">
        <v>581</v>
      </c>
      <c r="B166" t="s">
        <v>582</v>
      </c>
      <c r="C166" s="1">
        <v>46028</v>
      </c>
      <c r="D166" t="s">
        <v>583</v>
      </c>
      <c r="E166" t="s">
        <v>211</v>
      </c>
      <c r="F166" t="s">
        <v>584</v>
      </c>
      <c r="G166" t="s">
        <v>585</v>
      </c>
      <c r="H166" t="s">
        <v>214</v>
      </c>
      <c r="I166" t="s">
        <v>62</v>
      </c>
      <c r="J166" t="s">
        <v>137</v>
      </c>
      <c r="K166" t="s">
        <v>215</v>
      </c>
      <c r="L166" t="s">
        <v>216</v>
      </c>
      <c r="M166">
        <v>4080</v>
      </c>
      <c r="N166">
        <v>18580</v>
      </c>
      <c r="O166">
        <v>14500</v>
      </c>
      <c r="P166">
        <v>0</v>
      </c>
      <c r="S166">
        <v>0</v>
      </c>
    </row>
    <row r="167" spans="1:19" hidden="1" x14ac:dyDescent="0.25">
      <c r="A167" t="s">
        <v>586</v>
      </c>
      <c r="B167" t="s">
        <v>587</v>
      </c>
      <c r="C167" s="1">
        <v>46028</v>
      </c>
      <c r="D167" t="s">
        <v>527</v>
      </c>
      <c r="E167" t="s">
        <v>220</v>
      </c>
      <c r="F167" t="s">
        <v>528</v>
      </c>
      <c r="G167" t="s">
        <v>529</v>
      </c>
      <c r="H167" t="s">
        <v>222</v>
      </c>
      <c r="I167" t="s">
        <v>19</v>
      </c>
      <c r="J167" t="s">
        <v>223</v>
      </c>
      <c r="K167" t="s">
        <v>28</v>
      </c>
      <c r="L167" t="s">
        <v>29</v>
      </c>
      <c r="M167">
        <v>19220</v>
      </c>
      <c r="N167">
        <v>37060</v>
      </c>
      <c r="O167">
        <v>17840</v>
      </c>
      <c r="P167">
        <v>0</v>
      </c>
      <c r="S167">
        <v>0</v>
      </c>
    </row>
    <row r="168" spans="1:19" hidden="1" x14ac:dyDescent="0.25">
      <c r="A168" t="s">
        <v>588</v>
      </c>
      <c r="B168" t="s">
        <v>589</v>
      </c>
      <c r="C168" s="1">
        <v>46028</v>
      </c>
      <c r="D168" t="s">
        <v>590</v>
      </c>
      <c r="E168" t="s">
        <v>220</v>
      </c>
      <c r="F168" t="s">
        <v>591</v>
      </c>
      <c r="G168" t="s">
        <v>592</v>
      </c>
      <c r="H168" t="s">
        <v>222</v>
      </c>
      <c r="I168" t="s">
        <v>19</v>
      </c>
      <c r="J168" t="s">
        <v>223</v>
      </c>
      <c r="K168" t="s">
        <v>28</v>
      </c>
      <c r="L168" t="s">
        <v>29</v>
      </c>
      <c r="M168">
        <v>18980</v>
      </c>
      <c r="N168">
        <v>37080</v>
      </c>
      <c r="O168">
        <v>18100</v>
      </c>
      <c r="P168">
        <v>0</v>
      </c>
      <c r="S168">
        <v>0</v>
      </c>
    </row>
    <row r="169" spans="1:19" hidden="1" x14ac:dyDescent="0.25">
      <c r="A169" t="s">
        <v>593</v>
      </c>
      <c r="B169" t="s">
        <v>594</v>
      </c>
      <c r="C169" s="1">
        <v>46028</v>
      </c>
      <c r="D169" t="s">
        <v>52</v>
      </c>
      <c r="E169" t="s">
        <v>23</v>
      </c>
      <c r="F169" t="s">
        <v>24</v>
      </c>
      <c r="G169" t="s">
        <v>25</v>
      </c>
      <c r="I169" t="s">
        <v>332</v>
      </c>
      <c r="J169" t="s">
        <v>333</v>
      </c>
      <c r="K169" t="s">
        <v>215</v>
      </c>
      <c r="L169" t="s">
        <v>216</v>
      </c>
      <c r="M169">
        <v>2060</v>
      </c>
      <c r="N169">
        <v>17460</v>
      </c>
      <c r="O169">
        <v>15400</v>
      </c>
      <c r="P169">
        <v>0</v>
      </c>
      <c r="Q169" t="s">
        <v>99</v>
      </c>
      <c r="R169" t="s">
        <v>100</v>
      </c>
      <c r="S169">
        <v>0</v>
      </c>
    </row>
    <row r="170" spans="1:19" hidden="1" x14ac:dyDescent="0.25">
      <c r="A170" t="s">
        <v>595</v>
      </c>
      <c r="B170" t="s">
        <v>596</v>
      </c>
      <c r="C170" s="1">
        <v>46028</v>
      </c>
      <c r="D170" t="s">
        <v>597</v>
      </c>
      <c r="E170" t="s">
        <v>238</v>
      </c>
      <c r="F170" t="s">
        <v>246</v>
      </c>
      <c r="G170" t="s">
        <v>247</v>
      </c>
      <c r="H170" t="s">
        <v>598</v>
      </c>
      <c r="I170" t="s">
        <v>599</v>
      </c>
      <c r="J170" t="s">
        <v>600</v>
      </c>
      <c r="K170" t="s">
        <v>215</v>
      </c>
      <c r="L170" t="s">
        <v>216</v>
      </c>
      <c r="M170">
        <v>2440</v>
      </c>
      <c r="N170">
        <v>15580</v>
      </c>
      <c r="O170">
        <v>13140</v>
      </c>
      <c r="P170">
        <v>0</v>
      </c>
      <c r="S170">
        <v>0</v>
      </c>
    </row>
    <row r="171" spans="1:19" hidden="1" x14ac:dyDescent="0.25">
      <c r="A171" t="s">
        <v>601</v>
      </c>
      <c r="B171" t="s">
        <v>602</v>
      </c>
      <c r="C171" s="1">
        <v>46028</v>
      </c>
      <c r="D171" t="s">
        <v>603</v>
      </c>
      <c r="E171" t="s">
        <v>220</v>
      </c>
      <c r="F171" t="s">
        <v>604</v>
      </c>
      <c r="G171" t="s">
        <v>605</v>
      </c>
      <c r="H171" t="s">
        <v>606</v>
      </c>
      <c r="I171" t="s">
        <v>19</v>
      </c>
      <c r="J171" t="s">
        <v>223</v>
      </c>
      <c r="K171" t="s">
        <v>200</v>
      </c>
      <c r="L171" t="s">
        <v>201</v>
      </c>
      <c r="M171">
        <v>20220</v>
      </c>
      <c r="N171">
        <v>38480</v>
      </c>
      <c r="O171">
        <v>18260</v>
      </c>
      <c r="P171">
        <v>0</v>
      </c>
      <c r="S171">
        <v>0</v>
      </c>
    </row>
    <row r="172" spans="1:19" hidden="1" x14ac:dyDescent="0.25">
      <c r="A172" t="s">
        <v>607</v>
      </c>
      <c r="B172" t="s">
        <v>608</v>
      </c>
      <c r="C172" s="1">
        <v>46029</v>
      </c>
      <c r="D172" t="s">
        <v>76</v>
      </c>
      <c r="E172" t="s">
        <v>80</v>
      </c>
      <c r="F172" t="s">
        <v>77</v>
      </c>
      <c r="G172" t="s">
        <v>78</v>
      </c>
      <c r="H172" t="s">
        <v>471</v>
      </c>
      <c r="I172" t="s">
        <v>82</v>
      </c>
      <c r="J172" t="s">
        <v>83</v>
      </c>
      <c r="K172" t="s">
        <v>472</v>
      </c>
      <c r="L172" t="s">
        <v>473</v>
      </c>
      <c r="M172">
        <v>60</v>
      </c>
      <c r="N172">
        <v>3040</v>
      </c>
      <c r="O172">
        <v>2980</v>
      </c>
      <c r="P172">
        <v>0</v>
      </c>
      <c r="Q172" t="s">
        <v>99</v>
      </c>
      <c r="R172" t="s">
        <v>100</v>
      </c>
      <c r="S172">
        <v>0</v>
      </c>
    </row>
    <row r="173" spans="1:19" hidden="1" x14ac:dyDescent="0.25">
      <c r="A173" t="s">
        <v>609</v>
      </c>
      <c r="B173" t="s">
        <v>610</v>
      </c>
      <c r="C173" s="1">
        <v>46029</v>
      </c>
      <c r="D173" t="s">
        <v>76</v>
      </c>
      <c r="E173" t="s">
        <v>80</v>
      </c>
      <c r="F173" t="s">
        <v>77</v>
      </c>
      <c r="G173" t="s">
        <v>78</v>
      </c>
      <c r="H173" t="s">
        <v>456</v>
      </c>
      <c r="I173" t="s">
        <v>82</v>
      </c>
      <c r="J173" t="s">
        <v>83</v>
      </c>
      <c r="K173" t="s">
        <v>457</v>
      </c>
      <c r="L173" t="s">
        <v>458</v>
      </c>
      <c r="M173">
        <v>60</v>
      </c>
      <c r="N173">
        <v>2980</v>
      </c>
      <c r="O173">
        <v>2920</v>
      </c>
      <c r="P173">
        <v>0</v>
      </c>
      <c r="Q173" t="s">
        <v>99</v>
      </c>
      <c r="R173" t="s">
        <v>100</v>
      </c>
      <c r="S173">
        <v>0</v>
      </c>
    </row>
    <row r="174" spans="1:19" hidden="1" x14ac:dyDescent="0.25">
      <c r="A174" t="s">
        <v>611</v>
      </c>
      <c r="B174" t="s">
        <v>612</v>
      </c>
      <c r="C174" s="1">
        <v>46029</v>
      </c>
      <c r="D174" t="s">
        <v>76</v>
      </c>
      <c r="E174" t="s">
        <v>80</v>
      </c>
      <c r="F174" t="s">
        <v>77</v>
      </c>
      <c r="G174" t="s">
        <v>78</v>
      </c>
      <c r="H174" t="s">
        <v>465</v>
      </c>
      <c r="I174" t="s">
        <v>82</v>
      </c>
      <c r="J174" t="s">
        <v>83</v>
      </c>
      <c r="K174" t="s">
        <v>466</v>
      </c>
      <c r="L174" t="s">
        <v>467</v>
      </c>
      <c r="M174">
        <v>40</v>
      </c>
      <c r="N174">
        <v>2920</v>
      </c>
      <c r="O174">
        <v>2880</v>
      </c>
      <c r="P174">
        <v>0</v>
      </c>
      <c r="Q174" t="s">
        <v>99</v>
      </c>
      <c r="R174" t="s">
        <v>100</v>
      </c>
      <c r="S174">
        <v>0</v>
      </c>
    </row>
    <row r="175" spans="1:19" hidden="1" x14ac:dyDescent="0.25">
      <c r="A175" t="s">
        <v>613</v>
      </c>
      <c r="B175" t="s">
        <v>614</v>
      </c>
      <c r="C175" s="1">
        <v>46029</v>
      </c>
      <c r="D175" t="s">
        <v>76</v>
      </c>
      <c r="E175" t="s">
        <v>80</v>
      </c>
      <c r="F175" t="s">
        <v>77</v>
      </c>
      <c r="G175" t="s">
        <v>78</v>
      </c>
      <c r="H175" t="s">
        <v>471</v>
      </c>
      <c r="I175" t="s">
        <v>82</v>
      </c>
      <c r="J175" t="s">
        <v>83</v>
      </c>
      <c r="K175" t="s">
        <v>472</v>
      </c>
      <c r="L175" t="s">
        <v>473</v>
      </c>
      <c r="M175">
        <v>120</v>
      </c>
      <c r="N175">
        <v>2800</v>
      </c>
      <c r="O175">
        <v>2680</v>
      </c>
      <c r="P175">
        <v>0</v>
      </c>
      <c r="Q175" t="s">
        <v>99</v>
      </c>
      <c r="R175" t="s">
        <v>100</v>
      </c>
      <c r="S175">
        <v>0</v>
      </c>
    </row>
    <row r="176" spans="1:19" hidden="1" x14ac:dyDescent="0.25">
      <c r="A176" t="s">
        <v>615</v>
      </c>
      <c r="B176" t="s">
        <v>616</v>
      </c>
      <c r="C176" s="1">
        <v>46029</v>
      </c>
      <c r="D176" t="s">
        <v>430</v>
      </c>
      <c r="E176" t="s">
        <v>238</v>
      </c>
      <c r="F176" t="s">
        <v>246</v>
      </c>
      <c r="G176" t="s">
        <v>247</v>
      </c>
      <c r="H176" t="s">
        <v>617</v>
      </c>
      <c r="I176" t="s">
        <v>618</v>
      </c>
      <c r="J176" t="s">
        <v>619</v>
      </c>
      <c r="K176" t="s">
        <v>215</v>
      </c>
      <c r="L176" t="s">
        <v>216</v>
      </c>
      <c r="M176">
        <v>260</v>
      </c>
      <c r="N176">
        <v>13460</v>
      </c>
      <c r="O176">
        <v>13200</v>
      </c>
      <c r="P176">
        <v>0</v>
      </c>
      <c r="Q176" t="s">
        <v>48</v>
      </c>
      <c r="R176" t="s">
        <v>49</v>
      </c>
      <c r="S176">
        <v>0</v>
      </c>
    </row>
    <row r="177" spans="1:19" x14ac:dyDescent="0.25">
      <c r="A177" t="s">
        <v>365</v>
      </c>
      <c r="C177" s="1">
        <v>46026</v>
      </c>
      <c r="D177" t="s">
        <v>133</v>
      </c>
      <c r="E177" t="s">
        <v>91</v>
      </c>
      <c r="F177" t="s">
        <v>92</v>
      </c>
      <c r="G177" t="s">
        <v>93</v>
      </c>
      <c r="H177" t="s">
        <v>271</v>
      </c>
      <c r="I177" t="s">
        <v>194</v>
      </c>
      <c r="J177" t="s">
        <v>195</v>
      </c>
      <c r="K177" t="s">
        <v>28</v>
      </c>
      <c r="L177" t="s">
        <v>29</v>
      </c>
      <c r="M177">
        <v>3040</v>
      </c>
      <c r="N177">
        <v>16860</v>
      </c>
      <c r="O177">
        <v>13820</v>
      </c>
      <c r="P177">
        <v>0</v>
      </c>
      <c r="S177">
        <v>0</v>
      </c>
    </row>
    <row r="178" spans="1:19" x14ac:dyDescent="0.25">
      <c r="C178" s="1"/>
      <c r="M178" s="2">
        <f>SUBTOTAL(9,M150:M177)</f>
        <v>9940</v>
      </c>
    </row>
    <row r="179" spans="1:19" x14ac:dyDescent="0.25">
      <c r="A179" t="s">
        <v>191</v>
      </c>
      <c r="C179" s="1">
        <v>46024</v>
      </c>
      <c r="D179" t="s">
        <v>192</v>
      </c>
      <c r="E179" t="s">
        <v>91</v>
      </c>
      <c r="F179" t="s">
        <v>92</v>
      </c>
      <c r="G179" t="s">
        <v>93</v>
      </c>
      <c r="H179" t="s">
        <v>193</v>
      </c>
      <c r="I179" t="s">
        <v>194</v>
      </c>
      <c r="J179" t="s">
        <v>195</v>
      </c>
      <c r="K179" t="s">
        <v>196</v>
      </c>
      <c r="L179" t="s">
        <v>197</v>
      </c>
      <c r="M179">
        <v>334</v>
      </c>
      <c r="N179">
        <v>14714</v>
      </c>
      <c r="O179">
        <v>14380</v>
      </c>
      <c r="P179">
        <v>0</v>
      </c>
      <c r="S179">
        <v>46</v>
      </c>
    </row>
    <row r="180" spans="1:19" hidden="1" x14ac:dyDescent="0.25">
      <c r="A180" t="s">
        <v>625</v>
      </c>
      <c r="B180" t="s">
        <v>626</v>
      </c>
      <c r="C180" s="1">
        <v>46030</v>
      </c>
      <c r="D180" t="s">
        <v>627</v>
      </c>
      <c r="E180" t="s">
        <v>628</v>
      </c>
      <c r="F180" t="s">
        <v>629</v>
      </c>
      <c r="G180" t="s">
        <v>630</v>
      </c>
      <c r="I180" t="s">
        <v>631</v>
      </c>
      <c r="J180" t="s">
        <v>632</v>
      </c>
      <c r="K180" t="s">
        <v>284</v>
      </c>
      <c r="L180" t="s">
        <v>285</v>
      </c>
      <c r="M180">
        <v>620</v>
      </c>
      <c r="N180">
        <v>11760</v>
      </c>
      <c r="O180">
        <v>11140</v>
      </c>
      <c r="P180">
        <v>100</v>
      </c>
      <c r="Q180" t="s">
        <v>99</v>
      </c>
      <c r="R180" t="s">
        <v>100</v>
      </c>
      <c r="S180">
        <v>0</v>
      </c>
    </row>
    <row r="181" spans="1:19" hidden="1" x14ac:dyDescent="0.25">
      <c r="A181" t="s">
        <v>633</v>
      </c>
      <c r="B181" t="s">
        <v>634</v>
      </c>
      <c r="C181" s="1">
        <v>46030</v>
      </c>
      <c r="D181" t="s">
        <v>627</v>
      </c>
      <c r="E181" t="s">
        <v>628</v>
      </c>
      <c r="F181" t="s">
        <v>629</v>
      </c>
      <c r="G181" t="s">
        <v>630</v>
      </c>
      <c r="I181" t="s">
        <v>631</v>
      </c>
      <c r="J181" t="s">
        <v>632</v>
      </c>
      <c r="K181" t="s">
        <v>284</v>
      </c>
      <c r="L181" t="s">
        <v>285</v>
      </c>
      <c r="M181">
        <v>1520</v>
      </c>
      <c r="N181">
        <v>12620</v>
      </c>
      <c r="O181">
        <v>11100</v>
      </c>
      <c r="P181">
        <v>10</v>
      </c>
      <c r="Q181" t="s">
        <v>99</v>
      </c>
      <c r="R181" t="s">
        <v>100</v>
      </c>
      <c r="S181">
        <v>0</v>
      </c>
    </row>
    <row r="182" spans="1:19" x14ac:dyDescent="0.25">
      <c r="A182" t="s">
        <v>897</v>
      </c>
      <c r="C182" s="1">
        <v>46032</v>
      </c>
      <c r="D182" t="s">
        <v>192</v>
      </c>
      <c r="E182" t="s">
        <v>91</v>
      </c>
      <c r="F182" t="s">
        <v>92</v>
      </c>
      <c r="G182" t="s">
        <v>93</v>
      </c>
      <c r="H182" t="s">
        <v>193</v>
      </c>
      <c r="I182" t="s">
        <v>194</v>
      </c>
      <c r="J182" t="s">
        <v>195</v>
      </c>
      <c r="K182" t="s">
        <v>196</v>
      </c>
      <c r="L182" t="s">
        <v>197</v>
      </c>
      <c r="M182">
        <v>880</v>
      </c>
      <c r="N182">
        <v>15280</v>
      </c>
      <c r="O182">
        <v>14400</v>
      </c>
      <c r="P182">
        <v>0</v>
      </c>
      <c r="S182">
        <v>120</v>
      </c>
    </row>
    <row r="183" spans="1:19" x14ac:dyDescent="0.25">
      <c r="C183" s="1"/>
      <c r="M183" s="2">
        <f>SUBTOTAL(9,M179:M182)</f>
        <v>1214</v>
      </c>
    </row>
    <row r="184" spans="1:19" x14ac:dyDescent="0.25">
      <c r="A184" t="s">
        <v>202</v>
      </c>
      <c r="C184" s="1">
        <v>46024</v>
      </c>
      <c r="D184" t="s">
        <v>192</v>
      </c>
      <c r="E184" t="s">
        <v>91</v>
      </c>
      <c r="F184" t="s">
        <v>92</v>
      </c>
      <c r="G184" t="s">
        <v>93</v>
      </c>
      <c r="H184" t="s">
        <v>203</v>
      </c>
      <c r="I184" t="s">
        <v>194</v>
      </c>
      <c r="J184" t="s">
        <v>195</v>
      </c>
      <c r="K184" t="s">
        <v>97</v>
      </c>
      <c r="L184" t="s">
        <v>98</v>
      </c>
      <c r="M184">
        <v>2540</v>
      </c>
      <c r="N184">
        <v>16640</v>
      </c>
      <c r="O184">
        <v>14100</v>
      </c>
      <c r="P184">
        <v>0</v>
      </c>
      <c r="S184">
        <v>0</v>
      </c>
    </row>
    <row r="185" spans="1:19" hidden="1" x14ac:dyDescent="0.25">
      <c r="A185" t="s">
        <v>645</v>
      </c>
      <c r="B185" t="s">
        <v>646</v>
      </c>
      <c r="C185" s="1">
        <v>46030</v>
      </c>
      <c r="D185" t="s">
        <v>647</v>
      </c>
      <c r="E185" t="s">
        <v>648</v>
      </c>
      <c r="F185" t="s">
        <v>649</v>
      </c>
      <c r="G185" t="s">
        <v>650</v>
      </c>
      <c r="H185" t="s">
        <v>651</v>
      </c>
      <c r="I185" t="s">
        <v>652</v>
      </c>
      <c r="J185" t="s">
        <v>653</v>
      </c>
      <c r="K185" t="s">
        <v>472</v>
      </c>
      <c r="L185" t="s">
        <v>473</v>
      </c>
      <c r="M185">
        <v>28300</v>
      </c>
      <c r="N185">
        <v>43260</v>
      </c>
      <c r="O185">
        <v>14960</v>
      </c>
      <c r="P185">
        <v>0</v>
      </c>
      <c r="S185">
        <v>0</v>
      </c>
    </row>
    <row r="186" spans="1:19" hidden="1" x14ac:dyDescent="0.25">
      <c r="A186" t="s">
        <v>654</v>
      </c>
      <c r="B186" t="s">
        <v>655</v>
      </c>
      <c r="C186" s="1">
        <v>46030</v>
      </c>
      <c r="D186" t="s">
        <v>656</v>
      </c>
      <c r="E186" t="s">
        <v>23</v>
      </c>
      <c r="F186" t="s">
        <v>24</v>
      </c>
      <c r="G186" t="s">
        <v>25</v>
      </c>
      <c r="I186" t="s">
        <v>555</v>
      </c>
      <c r="J186" t="s">
        <v>554</v>
      </c>
      <c r="K186" t="s">
        <v>548</v>
      </c>
      <c r="L186" t="s">
        <v>549</v>
      </c>
      <c r="M186">
        <v>387</v>
      </c>
      <c r="N186">
        <v>9187</v>
      </c>
      <c r="O186">
        <v>8800</v>
      </c>
      <c r="P186">
        <v>0</v>
      </c>
      <c r="Q186" t="s">
        <v>99</v>
      </c>
      <c r="R186" t="s">
        <v>100</v>
      </c>
      <c r="S186">
        <v>53</v>
      </c>
    </row>
    <row r="187" spans="1:19" hidden="1" x14ac:dyDescent="0.25">
      <c r="A187" t="s">
        <v>657</v>
      </c>
      <c r="B187" t="s">
        <v>658</v>
      </c>
      <c r="C187" s="1">
        <v>46030</v>
      </c>
      <c r="D187" t="s">
        <v>656</v>
      </c>
      <c r="E187" t="s">
        <v>23</v>
      </c>
      <c r="F187" t="s">
        <v>24</v>
      </c>
      <c r="G187" t="s">
        <v>25</v>
      </c>
      <c r="I187" t="s">
        <v>189</v>
      </c>
      <c r="J187" t="s">
        <v>190</v>
      </c>
      <c r="K187" t="s">
        <v>659</v>
      </c>
      <c r="L187" t="s">
        <v>660</v>
      </c>
      <c r="M187">
        <v>460</v>
      </c>
      <c r="N187">
        <v>8840</v>
      </c>
      <c r="O187">
        <v>8380</v>
      </c>
      <c r="P187">
        <v>0</v>
      </c>
      <c r="S187">
        <v>0</v>
      </c>
    </row>
    <row r="188" spans="1:19" x14ac:dyDescent="0.25">
      <c r="C188" s="1"/>
      <c r="M188" s="2">
        <f>SUBTOTAL(9,M184:M187)</f>
        <v>2540</v>
      </c>
    </row>
    <row r="189" spans="1:19" x14ac:dyDescent="0.25">
      <c r="A189" t="s">
        <v>198</v>
      </c>
      <c r="C189" s="1">
        <v>46024</v>
      </c>
      <c r="D189" t="s">
        <v>192</v>
      </c>
      <c r="E189" t="s">
        <v>91</v>
      </c>
      <c r="F189" t="s">
        <v>92</v>
      </c>
      <c r="G189" t="s">
        <v>93</v>
      </c>
      <c r="H189" t="s">
        <v>199</v>
      </c>
      <c r="I189" t="s">
        <v>194</v>
      </c>
      <c r="J189" t="s">
        <v>195</v>
      </c>
      <c r="K189" t="s">
        <v>200</v>
      </c>
      <c r="L189" t="s">
        <v>201</v>
      </c>
      <c r="M189">
        <v>2280</v>
      </c>
      <c r="N189">
        <v>15900</v>
      </c>
      <c r="O189">
        <v>13620</v>
      </c>
      <c r="P189">
        <v>0</v>
      </c>
      <c r="S189">
        <v>0</v>
      </c>
    </row>
    <row r="190" spans="1:19" hidden="1" x14ac:dyDescent="0.25">
      <c r="A190" t="s">
        <v>663</v>
      </c>
      <c r="B190" t="s">
        <v>664</v>
      </c>
      <c r="C190" s="1">
        <v>46030</v>
      </c>
      <c r="D190" t="s">
        <v>253</v>
      </c>
      <c r="E190" t="s">
        <v>238</v>
      </c>
      <c r="F190" t="s">
        <v>239</v>
      </c>
      <c r="G190" t="s">
        <v>240</v>
      </c>
      <c r="H190" t="s">
        <v>241</v>
      </c>
      <c r="I190" t="s">
        <v>242</v>
      </c>
      <c r="J190" t="s">
        <v>243</v>
      </c>
      <c r="K190" t="s">
        <v>215</v>
      </c>
      <c r="L190" t="s">
        <v>216</v>
      </c>
      <c r="M190">
        <v>1080</v>
      </c>
      <c r="N190">
        <v>15720</v>
      </c>
      <c r="O190">
        <v>14640</v>
      </c>
      <c r="P190">
        <v>0</v>
      </c>
      <c r="Q190" t="s">
        <v>48</v>
      </c>
      <c r="R190" t="s">
        <v>49</v>
      </c>
      <c r="S190">
        <v>0</v>
      </c>
    </row>
    <row r="191" spans="1:19" hidden="1" x14ac:dyDescent="0.25">
      <c r="A191" t="s">
        <v>665</v>
      </c>
      <c r="B191" t="s">
        <v>666</v>
      </c>
      <c r="C191" s="1">
        <v>46030</v>
      </c>
      <c r="D191" t="s">
        <v>667</v>
      </c>
      <c r="E191" t="s">
        <v>373</v>
      </c>
      <c r="F191" t="s">
        <v>668</v>
      </c>
      <c r="G191" t="s">
        <v>669</v>
      </c>
      <c r="H191" t="s">
        <v>670</v>
      </c>
      <c r="I191" t="s">
        <v>671</v>
      </c>
      <c r="J191" t="s">
        <v>672</v>
      </c>
      <c r="K191" t="s">
        <v>215</v>
      </c>
      <c r="L191" t="s">
        <v>216</v>
      </c>
      <c r="M191">
        <v>3200</v>
      </c>
      <c r="N191">
        <v>15860</v>
      </c>
      <c r="O191">
        <v>12660</v>
      </c>
      <c r="P191">
        <v>0</v>
      </c>
      <c r="Q191" t="s">
        <v>48</v>
      </c>
      <c r="R191" t="s">
        <v>49</v>
      </c>
      <c r="S191">
        <v>0</v>
      </c>
    </row>
    <row r="192" spans="1:19" hidden="1" x14ac:dyDescent="0.25">
      <c r="A192" t="s">
        <v>673</v>
      </c>
      <c r="B192" t="s">
        <v>674</v>
      </c>
      <c r="C192" s="1">
        <v>46030</v>
      </c>
      <c r="D192" t="s">
        <v>237</v>
      </c>
      <c r="E192" t="s">
        <v>238</v>
      </c>
      <c r="F192" t="s">
        <v>239</v>
      </c>
      <c r="G192" t="s">
        <v>240</v>
      </c>
      <c r="H192" t="s">
        <v>241</v>
      </c>
      <c r="I192" t="s">
        <v>242</v>
      </c>
      <c r="J192" t="s">
        <v>243</v>
      </c>
      <c r="K192" t="s">
        <v>215</v>
      </c>
      <c r="L192" t="s">
        <v>216</v>
      </c>
      <c r="M192">
        <v>3300</v>
      </c>
      <c r="N192">
        <v>18500</v>
      </c>
      <c r="O192">
        <v>15200</v>
      </c>
      <c r="P192">
        <v>0</v>
      </c>
      <c r="Q192" t="s">
        <v>48</v>
      </c>
      <c r="R192" t="s">
        <v>49</v>
      </c>
      <c r="S192">
        <v>0</v>
      </c>
    </row>
    <row r="193" spans="1:19" hidden="1" x14ac:dyDescent="0.25">
      <c r="A193" t="s">
        <v>675</v>
      </c>
      <c r="B193" t="s">
        <v>676</v>
      </c>
      <c r="C193" s="1">
        <v>46030</v>
      </c>
      <c r="D193" t="s">
        <v>677</v>
      </c>
      <c r="E193" t="s">
        <v>238</v>
      </c>
      <c r="F193" t="s">
        <v>239</v>
      </c>
      <c r="G193" t="s">
        <v>240</v>
      </c>
      <c r="H193" t="s">
        <v>241</v>
      </c>
      <c r="I193" t="s">
        <v>242</v>
      </c>
      <c r="J193" t="s">
        <v>243</v>
      </c>
      <c r="K193" t="s">
        <v>215</v>
      </c>
      <c r="L193" t="s">
        <v>216</v>
      </c>
      <c r="M193">
        <v>2640</v>
      </c>
      <c r="N193">
        <v>16980</v>
      </c>
      <c r="O193">
        <v>14340</v>
      </c>
      <c r="P193">
        <v>0</v>
      </c>
      <c r="Q193" t="s">
        <v>48</v>
      </c>
      <c r="R193" t="s">
        <v>49</v>
      </c>
      <c r="S193">
        <v>0</v>
      </c>
    </row>
    <row r="194" spans="1:19" hidden="1" x14ac:dyDescent="0.25">
      <c r="A194" t="s">
        <v>678</v>
      </c>
      <c r="B194" t="s">
        <v>679</v>
      </c>
      <c r="C194" s="1">
        <v>46030</v>
      </c>
      <c r="D194" t="s">
        <v>656</v>
      </c>
      <c r="E194" t="s">
        <v>23</v>
      </c>
      <c r="F194" t="s">
        <v>24</v>
      </c>
      <c r="G194" t="s">
        <v>25</v>
      </c>
      <c r="I194" t="s">
        <v>680</v>
      </c>
      <c r="J194" t="s">
        <v>681</v>
      </c>
      <c r="K194" t="s">
        <v>682</v>
      </c>
      <c r="L194" t="s">
        <v>683</v>
      </c>
      <c r="M194">
        <v>660</v>
      </c>
      <c r="N194">
        <v>9520</v>
      </c>
      <c r="O194">
        <v>8860</v>
      </c>
      <c r="P194">
        <v>0</v>
      </c>
      <c r="Q194" t="s">
        <v>99</v>
      </c>
      <c r="R194" t="s">
        <v>100</v>
      </c>
      <c r="S194">
        <v>0</v>
      </c>
    </row>
    <row r="195" spans="1:19" hidden="1" x14ac:dyDescent="0.25">
      <c r="A195" t="s">
        <v>684</v>
      </c>
      <c r="B195" t="s">
        <v>685</v>
      </c>
      <c r="C195" s="1">
        <v>46030</v>
      </c>
      <c r="D195" t="s">
        <v>71</v>
      </c>
      <c r="E195" t="s">
        <v>23</v>
      </c>
      <c r="F195" t="s">
        <v>24</v>
      </c>
      <c r="G195" t="s">
        <v>25</v>
      </c>
      <c r="I195" t="s">
        <v>686</v>
      </c>
      <c r="J195" t="s">
        <v>687</v>
      </c>
      <c r="K195" t="s">
        <v>196</v>
      </c>
      <c r="L195" t="s">
        <v>197</v>
      </c>
      <c r="M195">
        <v>576</v>
      </c>
      <c r="N195">
        <v>14976</v>
      </c>
      <c r="O195">
        <v>14400</v>
      </c>
      <c r="P195">
        <v>0</v>
      </c>
      <c r="Q195" t="s">
        <v>99</v>
      </c>
      <c r="R195" t="s">
        <v>100</v>
      </c>
      <c r="S195">
        <v>144</v>
      </c>
    </row>
    <row r="196" spans="1:19" hidden="1" x14ac:dyDescent="0.25">
      <c r="A196" t="s">
        <v>688</v>
      </c>
      <c r="B196" t="s">
        <v>689</v>
      </c>
      <c r="C196" s="1">
        <v>46030</v>
      </c>
      <c r="D196" t="s">
        <v>656</v>
      </c>
      <c r="E196" t="s">
        <v>23</v>
      </c>
      <c r="F196" t="s">
        <v>24</v>
      </c>
      <c r="G196" t="s">
        <v>25</v>
      </c>
      <c r="I196" t="s">
        <v>680</v>
      </c>
      <c r="J196" t="s">
        <v>681</v>
      </c>
      <c r="K196" t="s">
        <v>462</v>
      </c>
      <c r="L196" t="s">
        <v>463</v>
      </c>
      <c r="M196">
        <v>480</v>
      </c>
      <c r="N196">
        <v>8860</v>
      </c>
      <c r="O196">
        <v>8380</v>
      </c>
      <c r="P196">
        <v>0</v>
      </c>
      <c r="Q196" t="s">
        <v>99</v>
      </c>
      <c r="R196" t="s">
        <v>100</v>
      </c>
      <c r="S196">
        <v>0</v>
      </c>
    </row>
    <row r="197" spans="1:19" x14ac:dyDescent="0.25">
      <c r="A197" t="s">
        <v>909</v>
      </c>
      <c r="C197" s="1">
        <v>46032</v>
      </c>
      <c r="D197" t="s">
        <v>621</v>
      </c>
      <c r="E197" t="s">
        <v>91</v>
      </c>
      <c r="F197" t="s">
        <v>92</v>
      </c>
      <c r="G197" t="s">
        <v>93</v>
      </c>
      <c r="H197" t="s">
        <v>199</v>
      </c>
      <c r="I197" t="s">
        <v>194</v>
      </c>
      <c r="J197" t="s">
        <v>195</v>
      </c>
      <c r="K197" t="s">
        <v>200</v>
      </c>
      <c r="L197" t="s">
        <v>201</v>
      </c>
      <c r="M197">
        <v>3980</v>
      </c>
      <c r="N197">
        <v>17800</v>
      </c>
      <c r="O197">
        <v>13820</v>
      </c>
      <c r="P197">
        <v>0</v>
      </c>
      <c r="S197">
        <v>0</v>
      </c>
    </row>
    <row r="198" spans="1:19" hidden="1" x14ac:dyDescent="0.25">
      <c r="A198" t="s">
        <v>692</v>
      </c>
      <c r="B198" t="s">
        <v>693</v>
      </c>
      <c r="C198" s="1">
        <v>46030</v>
      </c>
      <c r="D198" t="s">
        <v>694</v>
      </c>
      <c r="E198" t="s">
        <v>238</v>
      </c>
      <c r="F198" t="s">
        <v>695</v>
      </c>
      <c r="G198" t="s">
        <v>696</v>
      </c>
      <c r="H198" t="s">
        <v>697</v>
      </c>
      <c r="I198" t="s">
        <v>698</v>
      </c>
      <c r="J198" t="s">
        <v>699</v>
      </c>
      <c r="K198" t="s">
        <v>215</v>
      </c>
      <c r="L198" t="s">
        <v>216</v>
      </c>
      <c r="M198">
        <v>3700</v>
      </c>
      <c r="N198">
        <v>19560</v>
      </c>
      <c r="O198">
        <v>15860</v>
      </c>
      <c r="P198">
        <v>0</v>
      </c>
      <c r="Q198" t="s">
        <v>48</v>
      </c>
      <c r="R198" t="s">
        <v>49</v>
      </c>
      <c r="S198">
        <v>0</v>
      </c>
    </row>
    <row r="199" spans="1:19" hidden="1" x14ac:dyDescent="0.25">
      <c r="A199" t="s">
        <v>700</v>
      </c>
      <c r="B199" t="s">
        <v>701</v>
      </c>
      <c r="C199" s="1">
        <v>46030</v>
      </c>
      <c r="D199" t="s">
        <v>71</v>
      </c>
      <c r="E199" t="s">
        <v>23</v>
      </c>
      <c r="F199" t="s">
        <v>24</v>
      </c>
      <c r="G199" t="s">
        <v>25</v>
      </c>
      <c r="I199" t="s">
        <v>702</v>
      </c>
      <c r="J199" t="s">
        <v>703</v>
      </c>
      <c r="K199" t="s">
        <v>298</v>
      </c>
      <c r="L199" t="s">
        <v>101</v>
      </c>
      <c r="M199">
        <v>2740</v>
      </c>
      <c r="N199">
        <v>17620</v>
      </c>
      <c r="O199">
        <v>14880</v>
      </c>
      <c r="P199">
        <v>0</v>
      </c>
      <c r="Q199" t="s">
        <v>99</v>
      </c>
      <c r="R199" t="s">
        <v>100</v>
      </c>
      <c r="S199">
        <v>0</v>
      </c>
    </row>
    <row r="200" spans="1:19" hidden="1" x14ac:dyDescent="0.25">
      <c r="A200" t="s">
        <v>704</v>
      </c>
      <c r="B200" t="s">
        <v>705</v>
      </c>
      <c r="C200" s="1">
        <v>46030</v>
      </c>
      <c r="D200" t="s">
        <v>706</v>
      </c>
      <c r="E200" t="s">
        <v>238</v>
      </c>
      <c r="F200" t="s">
        <v>239</v>
      </c>
      <c r="G200" t="s">
        <v>240</v>
      </c>
      <c r="H200" t="s">
        <v>707</v>
      </c>
      <c r="I200" t="s">
        <v>708</v>
      </c>
      <c r="J200" t="s">
        <v>709</v>
      </c>
      <c r="K200" t="s">
        <v>215</v>
      </c>
      <c r="L200" t="s">
        <v>216</v>
      </c>
      <c r="M200">
        <v>1680</v>
      </c>
      <c r="N200">
        <v>16800</v>
      </c>
      <c r="O200">
        <v>15120</v>
      </c>
      <c r="P200">
        <v>0</v>
      </c>
      <c r="Q200" t="s">
        <v>48</v>
      </c>
      <c r="R200" t="s">
        <v>49</v>
      </c>
      <c r="S200">
        <v>0</v>
      </c>
    </row>
    <row r="201" spans="1:19" hidden="1" x14ac:dyDescent="0.25">
      <c r="A201" t="s">
        <v>710</v>
      </c>
      <c r="B201" t="s">
        <v>711</v>
      </c>
      <c r="C201" s="1">
        <v>46030</v>
      </c>
      <c r="D201" t="s">
        <v>712</v>
      </c>
      <c r="E201" t="s">
        <v>238</v>
      </c>
      <c r="F201" t="s">
        <v>239</v>
      </c>
      <c r="G201" t="s">
        <v>240</v>
      </c>
      <c r="H201" t="s">
        <v>707</v>
      </c>
      <c r="I201" t="s">
        <v>708</v>
      </c>
      <c r="J201" t="s">
        <v>709</v>
      </c>
      <c r="K201" t="s">
        <v>215</v>
      </c>
      <c r="L201" t="s">
        <v>216</v>
      </c>
      <c r="M201">
        <v>2000</v>
      </c>
      <c r="N201">
        <v>16880</v>
      </c>
      <c r="O201">
        <v>14880</v>
      </c>
      <c r="P201">
        <v>0</v>
      </c>
      <c r="Q201" t="s">
        <v>48</v>
      </c>
      <c r="R201" t="s">
        <v>49</v>
      </c>
      <c r="S201">
        <v>0</v>
      </c>
    </row>
    <row r="202" spans="1:19" hidden="1" x14ac:dyDescent="0.25">
      <c r="A202" t="s">
        <v>713</v>
      </c>
      <c r="B202" t="s">
        <v>714</v>
      </c>
      <c r="C202" s="1">
        <v>46030</v>
      </c>
      <c r="D202" t="s">
        <v>715</v>
      </c>
      <c r="E202" t="s">
        <v>238</v>
      </c>
      <c r="F202" t="s">
        <v>695</v>
      </c>
      <c r="G202" t="s">
        <v>696</v>
      </c>
      <c r="H202" t="s">
        <v>716</v>
      </c>
      <c r="I202" t="s">
        <v>717</v>
      </c>
      <c r="J202" t="s">
        <v>718</v>
      </c>
      <c r="K202" t="s">
        <v>215</v>
      </c>
      <c r="L202" t="s">
        <v>216</v>
      </c>
      <c r="M202">
        <v>4640</v>
      </c>
      <c r="N202">
        <v>20960</v>
      </c>
      <c r="O202">
        <v>16320</v>
      </c>
      <c r="P202">
        <v>0</v>
      </c>
      <c r="Q202" t="s">
        <v>48</v>
      </c>
      <c r="R202" t="s">
        <v>49</v>
      </c>
      <c r="S202">
        <v>0</v>
      </c>
    </row>
    <row r="203" spans="1:19" hidden="1" x14ac:dyDescent="0.25">
      <c r="A203" t="s">
        <v>719</v>
      </c>
      <c r="B203" t="s">
        <v>720</v>
      </c>
      <c r="C203" s="1">
        <v>46030</v>
      </c>
      <c r="D203" t="s">
        <v>76</v>
      </c>
      <c r="E203" t="s">
        <v>80</v>
      </c>
      <c r="F203" t="s">
        <v>77</v>
      </c>
      <c r="G203" t="s">
        <v>78</v>
      </c>
      <c r="H203" t="s">
        <v>721</v>
      </c>
      <c r="I203" t="s">
        <v>82</v>
      </c>
      <c r="J203" t="s">
        <v>83</v>
      </c>
      <c r="K203" t="s">
        <v>659</v>
      </c>
      <c r="L203" t="s">
        <v>660</v>
      </c>
      <c r="M203">
        <v>60</v>
      </c>
      <c r="N203">
        <v>3400</v>
      </c>
      <c r="O203">
        <v>3340</v>
      </c>
      <c r="P203">
        <v>0</v>
      </c>
      <c r="Q203" t="s">
        <v>99</v>
      </c>
      <c r="R203" t="s">
        <v>100</v>
      </c>
      <c r="S203">
        <v>0</v>
      </c>
    </row>
    <row r="204" spans="1:19" hidden="1" x14ac:dyDescent="0.25">
      <c r="A204" t="s">
        <v>722</v>
      </c>
      <c r="B204" t="s">
        <v>723</v>
      </c>
      <c r="C204" s="1">
        <v>46030</v>
      </c>
      <c r="D204" t="s">
        <v>76</v>
      </c>
      <c r="E204" t="s">
        <v>80</v>
      </c>
      <c r="F204" t="s">
        <v>77</v>
      </c>
      <c r="G204" t="s">
        <v>78</v>
      </c>
      <c r="H204" t="s">
        <v>475</v>
      </c>
      <c r="I204" t="s">
        <v>82</v>
      </c>
      <c r="J204" t="s">
        <v>83</v>
      </c>
      <c r="K204" t="s">
        <v>298</v>
      </c>
      <c r="L204" t="s">
        <v>101</v>
      </c>
      <c r="M204">
        <v>120</v>
      </c>
      <c r="N204">
        <v>3340</v>
      </c>
      <c r="O204">
        <v>3220</v>
      </c>
      <c r="P204">
        <v>0</v>
      </c>
      <c r="Q204" t="s">
        <v>99</v>
      </c>
      <c r="R204" t="s">
        <v>100</v>
      </c>
      <c r="S204">
        <v>0</v>
      </c>
    </row>
    <row r="205" spans="1:19" hidden="1" x14ac:dyDescent="0.25">
      <c r="A205" t="s">
        <v>724</v>
      </c>
      <c r="B205" t="s">
        <v>725</v>
      </c>
      <c r="C205" s="1">
        <v>46030</v>
      </c>
      <c r="D205" t="s">
        <v>726</v>
      </c>
      <c r="E205" t="s">
        <v>220</v>
      </c>
      <c r="F205" t="s">
        <v>438</v>
      </c>
      <c r="G205" t="s">
        <v>439</v>
      </c>
      <c r="H205" t="s">
        <v>557</v>
      </c>
      <c r="I205" t="s">
        <v>19</v>
      </c>
      <c r="J205" t="s">
        <v>223</v>
      </c>
      <c r="K205" t="s">
        <v>462</v>
      </c>
      <c r="L205" t="s">
        <v>463</v>
      </c>
      <c r="M205">
        <v>18580</v>
      </c>
      <c r="N205">
        <v>36840</v>
      </c>
      <c r="O205">
        <v>18260</v>
      </c>
      <c r="P205">
        <v>0</v>
      </c>
      <c r="S205">
        <v>0</v>
      </c>
    </row>
    <row r="206" spans="1:19" hidden="1" x14ac:dyDescent="0.25">
      <c r="A206" t="s">
        <v>727</v>
      </c>
      <c r="B206" t="s">
        <v>728</v>
      </c>
      <c r="C206" s="1">
        <v>46030</v>
      </c>
      <c r="D206" t="s">
        <v>76</v>
      </c>
      <c r="E206" t="s">
        <v>80</v>
      </c>
      <c r="F206" t="s">
        <v>77</v>
      </c>
      <c r="G206" t="s">
        <v>78</v>
      </c>
      <c r="H206" t="s">
        <v>465</v>
      </c>
      <c r="I206" t="s">
        <v>82</v>
      </c>
      <c r="J206" t="s">
        <v>83</v>
      </c>
      <c r="K206" t="s">
        <v>466</v>
      </c>
      <c r="L206" t="s">
        <v>467</v>
      </c>
      <c r="M206">
        <v>40</v>
      </c>
      <c r="N206">
        <v>2960</v>
      </c>
      <c r="O206">
        <v>2920</v>
      </c>
      <c r="P206">
        <v>0</v>
      </c>
      <c r="Q206" t="s">
        <v>99</v>
      </c>
      <c r="R206" t="s">
        <v>100</v>
      </c>
      <c r="S206">
        <v>0</v>
      </c>
    </row>
    <row r="207" spans="1:19" hidden="1" x14ac:dyDescent="0.25">
      <c r="A207" t="s">
        <v>729</v>
      </c>
      <c r="B207" t="s">
        <v>730</v>
      </c>
      <c r="C207" s="1">
        <v>46030</v>
      </c>
      <c r="D207" t="s">
        <v>76</v>
      </c>
      <c r="E207" t="s">
        <v>80</v>
      </c>
      <c r="F207" t="s">
        <v>77</v>
      </c>
      <c r="G207" t="s">
        <v>78</v>
      </c>
      <c r="H207" t="s">
        <v>537</v>
      </c>
      <c r="I207" t="s">
        <v>82</v>
      </c>
      <c r="J207" t="s">
        <v>83</v>
      </c>
      <c r="K207" t="s">
        <v>157</v>
      </c>
      <c r="L207" t="s">
        <v>158</v>
      </c>
      <c r="M207">
        <v>20</v>
      </c>
      <c r="N207">
        <v>2920</v>
      </c>
      <c r="O207">
        <v>2900</v>
      </c>
      <c r="P207">
        <v>0</v>
      </c>
      <c r="Q207" t="s">
        <v>99</v>
      </c>
      <c r="R207" t="s">
        <v>100</v>
      </c>
      <c r="S207">
        <v>0</v>
      </c>
    </row>
    <row r="208" spans="1:19" hidden="1" x14ac:dyDescent="0.25">
      <c r="A208" t="s">
        <v>731</v>
      </c>
      <c r="B208" t="s">
        <v>732</v>
      </c>
      <c r="C208" s="1">
        <v>46030</v>
      </c>
      <c r="D208" t="s">
        <v>52</v>
      </c>
      <c r="E208" t="s">
        <v>23</v>
      </c>
      <c r="F208" t="s">
        <v>24</v>
      </c>
      <c r="G208" t="s">
        <v>25</v>
      </c>
      <c r="I208" t="s">
        <v>559</v>
      </c>
      <c r="J208" t="s">
        <v>560</v>
      </c>
      <c r="K208" t="s">
        <v>462</v>
      </c>
      <c r="L208" t="s">
        <v>463</v>
      </c>
      <c r="M208">
        <v>2120</v>
      </c>
      <c r="N208">
        <v>17340</v>
      </c>
      <c r="O208">
        <v>15220</v>
      </c>
      <c r="P208">
        <v>0</v>
      </c>
      <c r="Q208" t="s">
        <v>99</v>
      </c>
      <c r="R208" t="s">
        <v>100</v>
      </c>
      <c r="S208">
        <v>0</v>
      </c>
    </row>
    <row r="209" spans="1:19" hidden="1" x14ac:dyDescent="0.25">
      <c r="A209" t="s">
        <v>733</v>
      </c>
      <c r="C209" s="1">
        <v>46030</v>
      </c>
      <c r="D209" t="s">
        <v>734</v>
      </c>
      <c r="E209" t="s">
        <v>23</v>
      </c>
      <c r="F209" t="s">
        <v>24</v>
      </c>
      <c r="G209" t="s">
        <v>25</v>
      </c>
      <c r="I209" t="s">
        <v>735</v>
      </c>
      <c r="J209" t="s">
        <v>736</v>
      </c>
      <c r="K209" t="s">
        <v>196</v>
      </c>
      <c r="L209" t="s">
        <v>197</v>
      </c>
      <c r="M209">
        <v>1548</v>
      </c>
      <c r="N209">
        <v>19408</v>
      </c>
      <c r="O209">
        <v>17860</v>
      </c>
      <c r="P209">
        <v>0</v>
      </c>
      <c r="S209">
        <v>412</v>
      </c>
    </row>
    <row r="210" spans="1:19" hidden="1" x14ac:dyDescent="0.25">
      <c r="A210" t="s">
        <v>737</v>
      </c>
      <c r="B210" t="s">
        <v>738</v>
      </c>
      <c r="C210" s="1">
        <v>46030</v>
      </c>
      <c r="D210" t="s">
        <v>715</v>
      </c>
      <c r="E210" t="s">
        <v>220</v>
      </c>
      <c r="F210" t="s">
        <v>528</v>
      </c>
      <c r="G210" t="s">
        <v>529</v>
      </c>
      <c r="H210" t="s">
        <v>222</v>
      </c>
      <c r="I210" t="s">
        <v>19</v>
      </c>
      <c r="J210" t="s">
        <v>223</v>
      </c>
      <c r="K210" t="s">
        <v>28</v>
      </c>
      <c r="L210" t="s">
        <v>29</v>
      </c>
      <c r="M210">
        <v>22620</v>
      </c>
      <c r="N210">
        <v>40560</v>
      </c>
      <c r="O210">
        <v>17940</v>
      </c>
      <c r="P210">
        <v>0</v>
      </c>
      <c r="S210">
        <v>0</v>
      </c>
    </row>
    <row r="211" spans="1:19" x14ac:dyDescent="0.25">
      <c r="C211" s="1"/>
      <c r="M211" s="2">
        <f>SUBTOTAL(9,M189:M210)</f>
        <v>6260</v>
      </c>
    </row>
    <row r="212" spans="1:19" x14ac:dyDescent="0.25">
      <c r="A212" t="s">
        <v>321</v>
      </c>
      <c r="C212" s="1">
        <v>46025</v>
      </c>
      <c r="D212" t="s">
        <v>192</v>
      </c>
      <c r="E212" t="s">
        <v>91</v>
      </c>
      <c r="F212" t="s">
        <v>92</v>
      </c>
      <c r="G212" t="s">
        <v>93</v>
      </c>
      <c r="H212" t="s">
        <v>322</v>
      </c>
      <c r="I212" t="s">
        <v>319</v>
      </c>
      <c r="J212" t="s">
        <v>320</v>
      </c>
      <c r="K212" t="s">
        <v>28</v>
      </c>
      <c r="L212" t="s">
        <v>29</v>
      </c>
      <c r="M212">
        <v>4360</v>
      </c>
      <c r="N212">
        <v>18200</v>
      </c>
      <c r="O212">
        <v>13840</v>
      </c>
      <c r="P212">
        <v>0</v>
      </c>
      <c r="S212">
        <v>0</v>
      </c>
    </row>
    <row r="213" spans="1:19" hidden="1" x14ac:dyDescent="0.25">
      <c r="A213" t="s">
        <v>743</v>
      </c>
      <c r="C213" s="1">
        <v>46030</v>
      </c>
      <c r="D213" t="s">
        <v>71</v>
      </c>
      <c r="E213" t="s">
        <v>23</v>
      </c>
      <c r="F213" t="s">
        <v>24</v>
      </c>
      <c r="G213" t="s">
        <v>25</v>
      </c>
      <c r="I213" t="s">
        <v>744</v>
      </c>
      <c r="J213" t="s">
        <v>745</v>
      </c>
      <c r="K213" t="s">
        <v>441</v>
      </c>
      <c r="L213" t="s">
        <v>442</v>
      </c>
      <c r="M213">
        <v>1700</v>
      </c>
      <c r="N213">
        <v>16540</v>
      </c>
      <c r="O213">
        <v>14840</v>
      </c>
      <c r="P213">
        <v>0</v>
      </c>
      <c r="S213">
        <v>0</v>
      </c>
    </row>
    <row r="214" spans="1:19" hidden="1" x14ac:dyDescent="0.25">
      <c r="A214" t="s">
        <v>746</v>
      </c>
      <c r="C214" s="1">
        <v>46030</v>
      </c>
      <c r="D214" t="s">
        <v>515</v>
      </c>
      <c r="E214" t="s">
        <v>373</v>
      </c>
      <c r="F214" t="s">
        <v>92</v>
      </c>
      <c r="G214" t="s">
        <v>93</v>
      </c>
      <c r="H214" t="s">
        <v>516</v>
      </c>
      <c r="I214" t="s">
        <v>517</v>
      </c>
      <c r="J214" t="s">
        <v>518</v>
      </c>
      <c r="K214" t="s">
        <v>215</v>
      </c>
      <c r="L214" t="s">
        <v>216</v>
      </c>
      <c r="M214">
        <v>5780</v>
      </c>
      <c r="N214">
        <v>22560</v>
      </c>
      <c r="O214">
        <v>16780</v>
      </c>
      <c r="P214">
        <v>0</v>
      </c>
      <c r="S214">
        <v>0</v>
      </c>
    </row>
    <row r="215" spans="1:19" x14ac:dyDescent="0.25">
      <c r="A215" t="s">
        <v>433</v>
      </c>
      <c r="B215" t="s">
        <v>434</v>
      </c>
      <c r="C215" s="1">
        <v>46027</v>
      </c>
      <c r="D215" t="s">
        <v>192</v>
      </c>
      <c r="E215" t="s">
        <v>91</v>
      </c>
      <c r="F215" t="s">
        <v>92</v>
      </c>
      <c r="G215" t="s">
        <v>93</v>
      </c>
      <c r="H215" t="s">
        <v>322</v>
      </c>
      <c r="I215" t="s">
        <v>319</v>
      </c>
      <c r="J215" t="s">
        <v>320</v>
      </c>
      <c r="K215" t="s">
        <v>28</v>
      </c>
      <c r="L215" t="s">
        <v>29</v>
      </c>
      <c r="M215">
        <v>2920</v>
      </c>
      <c r="N215">
        <v>16660</v>
      </c>
      <c r="O215">
        <v>13740</v>
      </c>
      <c r="P215">
        <v>0</v>
      </c>
      <c r="Q215" t="s">
        <v>48</v>
      </c>
      <c r="R215" t="s">
        <v>49</v>
      </c>
      <c r="S215">
        <v>0</v>
      </c>
    </row>
    <row r="216" spans="1:19" hidden="1" x14ac:dyDescent="0.25">
      <c r="A216" t="s">
        <v>749</v>
      </c>
      <c r="C216" s="1">
        <v>46030</v>
      </c>
      <c r="D216" t="s">
        <v>68</v>
      </c>
      <c r="E216" t="s">
        <v>23</v>
      </c>
      <c r="F216" t="s">
        <v>24</v>
      </c>
      <c r="G216" t="s">
        <v>25</v>
      </c>
      <c r="I216" t="s">
        <v>735</v>
      </c>
      <c r="J216" t="s">
        <v>736</v>
      </c>
      <c r="K216" t="s">
        <v>196</v>
      </c>
      <c r="L216" t="s">
        <v>197</v>
      </c>
      <c r="M216">
        <v>896</v>
      </c>
      <c r="N216">
        <v>18816</v>
      </c>
      <c r="O216">
        <v>17920</v>
      </c>
      <c r="P216">
        <v>0</v>
      </c>
      <c r="S216">
        <v>224</v>
      </c>
    </row>
    <row r="217" spans="1:19" hidden="1" x14ac:dyDescent="0.25">
      <c r="A217" t="s">
        <v>750</v>
      </c>
      <c r="B217" t="s">
        <v>751</v>
      </c>
      <c r="C217" s="1">
        <v>46030</v>
      </c>
      <c r="D217" t="s">
        <v>76</v>
      </c>
      <c r="E217" t="s">
        <v>80</v>
      </c>
      <c r="F217" t="s">
        <v>77</v>
      </c>
      <c r="G217" t="s">
        <v>78</v>
      </c>
      <c r="H217" t="s">
        <v>471</v>
      </c>
      <c r="I217" t="s">
        <v>82</v>
      </c>
      <c r="J217" t="s">
        <v>83</v>
      </c>
      <c r="K217" t="s">
        <v>472</v>
      </c>
      <c r="L217" t="s">
        <v>473</v>
      </c>
      <c r="M217">
        <v>40</v>
      </c>
      <c r="N217">
        <v>2820</v>
      </c>
      <c r="O217">
        <v>2780</v>
      </c>
      <c r="P217">
        <v>0</v>
      </c>
      <c r="Q217" t="s">
        <v>99</v>
      </c>
      <c r="R217" t="s">
        <v>100</v>
      </c>
      <c r="S217">
        <v>0</v>
      </c>
    </row>
    <row r="218" spans="1:19" hidden="1" x14ac:dyDescent="0.25">
      <c r="A218" t="s">
        <v>752</v>
      </c>
      <c r="C218" s="1">
        <v>46030</v>
      </c>
      <c r="D218" t="s">
        <v>753</v>
      </c>
      <c r="E218" t="s">
        <v>238</v>
      </c>
      <c r="F218" t="s">
        <v>246</v>
      </c>
      <c r="G218" t="s">
        <v>247</v>
      </c>
      <c r="H218" t="s">
        <v>754</v>
      </c>
      <c r="I218" t="s">
        <v>755</v>
      </c>
      <c r="J218" t="s">
        <v>756</v>
      </c>
      <c r="K218" t="s">
        <v>215</v>
      </c>
      <c r="L218" t="s">
        <v>216</v>
      </c>
      <c r="M218">
        <v>5180</v>
      </c>
      <c r="N218">
        <v>20160</v>
      </c>
      <c r="O218">
        <v>14980</v>
      </c>
      <c r="P218">
        <v>0</v>
      </c>
      <c r="S218">
        <v>0</v>
      </c>
    </row>
    <row r="219" spans="1:19" hidden="1" x14ac:dyDescent="0.25">
      <c r="A219" t="s">
        <v>757</v>
      </c>
      <c r="C219" s="1">
        <v>46030</v>
      </c>
      <c r="D219" t="s">
        <v>76</v>
      </c>
      <c r="E219" t="s">
        <v>80</v>
      </c>
      <c r="F219" t="s">
        <v>77</v>
      </c>
      <c r="G219" t="s">
        <v>78</v>
      </c>
      <c r="H219" t="s">
        <v>465</v>
      </c>
      <c r="I219" t="s">
        <v>82</v>
      </c>
      <c r="J219" t="s">
        <v>83</v>
      </c>
      <c r="K219" t="s">
        <v>466</v>
      </c>
      <c r="L219" t="s">
        <v>467</v>
      </c>
      <c r="M219">
        <v>20</v>
      </c>
      <c r="N219">
        <v>2780</v>
      </c>
      <c r="O219">
        <v>2760</v>
      </c>
      <c r="P219">
        <v>0</v>
      </c>
      <c r="S219">
        <v>0</v>
      </c>
    </row>
    <row r="220" spans="1:19" hidden="1" x14ac:dyDescent="0.25">
      <c r="A220" t="s">
        <v>758</v>
      </c>
      <c r="B220" t="s">
        <v>759</v>
      </c>
      <c r="C220" s="1">
        <v>46030</v>
      </c>
      <c r="D220" t="s">
        <v>410</v>
      </c>
      <c r="E220" t="s">
        <v>411</v>
      </c>
      <c r="F220" t="s">
        <v>413</v>
      </c>
      <c r="G220" t="s">
        <v>414</v>
      </c>
      <c r="H220" t="s">
        <v>415</v>
      </c>
      <c r="I220" t="s">
        <v>416</v>
      </c>
      <c r="J220" t="s">
        <v>412</v>
      </c>
      <c r="K220" t="s">
        <v>298</v>
      </c>
      <c r="L220" t="s">
        <v>101</v>
      </c>
      <c r="M220">
        <v>13980</v>
      </c>
      <c r="N220">
        <v>36120</v>
      </c>
      <c r="O220">
        <v>22140</v>
      </c>
      <c r="P220">
        <v>0</v>
      </c>
      <c r="S220">
        <v>0</v>
      </c>
    </row>
    <row r="221" spans="1:19" hidden="1" x14ac:dyDescent="0.25">
      <c r="A221" t="s">
        <v>760</v>
      </c>
      <c r="B221" t="s">
        <v>761</v>
      </c>
      <c r="C221" s="1">
        <v>46030</v>
      </c>
      <c r="D221" t="s">
        <v>762</v>
      </c>
      <c r="E221" t="s">
        <v>763</v>
      </c>
      <c r="F221" t="s">
        <v>764</v>
      </c>
      <c r="G221" t="s">
        <v>765</v>
      </c>
      <c r="H221" t="s">
        <v>766</v>
      </c>
      <c r="I221" t="s">
        <v>62</v>
      </c>
      <c r="J221" t="s">
        <v>83</v>
      </c>
      <c r="K221" t="s">
        <v>284</v>
      </c>
      <c r="L221" t="s">
        <v>285</v>
      </c>
      <c r="M221">
        <v>1920</v>
      </c>
      <c r="N221">
        <v>17300</v>
      </c>
      <c r="O221">
        <v>15380</v>
      </c>
      <c r="P221">
        <v>15</v>
      </c>
      <c r="Q221" t="s">
        <v>99</v>
      </c>
      <c r="R221" t="s">
        <v>100</v>
      </c>
      <c r="S221">
        <v>0</v>
      </c>
    </row>
    <row r="222" spans="1:19" hidden="1" x14ac:dyDescent="0.25">
      <c r="A222" t="s">
        <v>767</v>
      </c>
      <c r="B222" t="s">
        <v>768</v>
      </c>
      <c r="C222" s="1">
        <v>46030</v>
      </c>
      <c r="D222" t="s">
        <v>769</v>
      </c>
      <c r="E222" t="s">
        <v>238</v>
      </c>
      <c r="F222" t="s">
        <v>246</v>
      </c>
      <c r="G222" t="s">
        <v>247</v>
      </c>
      <c r="H222" t="s">
        <v>617</v>
      </c>
      <c r="I222" t="s">
        <v>618</v>
      </c>
      <c r="J222" t="s">
        <v>619</v>
      </c>
      <c r="K222" t="s">
        <v>215</v>
      </c>
      <c r="L222" t="s">
        <v>216</v>
      </c>
      <c r="M222">
        <v>2900</v>
      </c>
      <c r="N222">
        <v>17720</v>
      </c>
      <c r="O222">
        <v>14820</v>
      </c>
      <c r="P222">
        <v>0</v>
      </c>
      <c r="Q222" t="s">
        <v>48</v>
      </c>
      <c r="R222" t="s">
        <v>49</v>
      </c>
      <c r="S222">
        <v>0</v>
      </c>
    </row>
    <row r="223" spans="1:19" hidden="1" x14ac:dyDescent="0.25">
      <c r="A223" t="s">
        <v>770</v>
      </c>
      <c r="C223" s="1">
        <v>46030</v>
      </c>
      <c r="D223" t="s">
        <v>22</v>
      </c>
      <c r="E223" t="s">
        <v>23</v>
      </c>
      <c r="F223" t="s">
        <v>24</v>
      </c>
      <c r="G223" t="s">
        <v>25</v>
      </c>
      <c r="K223" t="s">
        <v>196</v>
      </c>
      <c r="L223" t="s">
        <v>197</v>
      </c>
      <c r="M223">
        <v>0</v>
      </c>
      <c r="N223">
        <v>22380</v>
      </c>
      <c r="O223">
        <v>22380</v>
      </c>
      <c r="P223">
        <v>0</v>
      </c>
      <c r="S223">
        <v>0</v>
      </c>
    </row>
    <row r="224" spans="1:19" hidden="1" x14ac:dyDescent="0.25">
      <c r="A224" t="s">
        <v>771</v>
      </c>
      <c r="B224" t="s">
        <v>772</v>
      </c>
      <c r="C224" s="1">
        <v>46030</v>
      </c>
      <c r="D224" t="s">
        <v>773</v>
      </c>
      <c r="E224" t="s">
        <v>238</v>
      </c>
      <c r="F224" t="s">
        <v>246</v>
      </c>
      <c r="G224" t="s">
        <v>247</v>
      </c>
      <c r="H224" t="s">
        <v>754</v>
      </c>
      <c r="I224" t="s">
        <v>755</v>
      </c>
      <c r="J224" t="s">
        <v>756</v>
      </c>
      <c r="K224" t="s">
        <v>215</v>
      </c>
      <c r="L224" t="s">
        <v>216</v>
      </c>
      <c r="M224">
        <v>440</v>
      </c>
      <c r="N224">
        <v>3420</v>
      </c>
      <c r="O224">
        <v>2980</v>
      </c>
      <c r="P224">
        <v>0</v>
      </c>
      <c r="Q224" t="s">
        <v>48</v>
      </c>
      <c r="R224" t="s">
        <v>49</v>
      </c>
      <c r="S224">
        <v>0</v>
      </c>
    </row>
    <row r="225" spans="1:19" hidden="1" x14ac:dyDescent="0.25">
      <c r="A225" t="s">
        <v>774</v>
      </c>
      <c r="B225" t="s">
        <v>775</v>
      </c>
      <c r="C225" s="1">
        <v>46030</v>
      </c>
      <c r="D225" t="s">
        <v>52</v>
      </c>
      <c r="E225" t="s">
        <v>23</v>
      </c>
      <c r="F225" t="s">
        <v>24</v>
      </c>
      <c r="G225" t="s">
        <v>25</v>
      </c>
      <c r="I225" t="s">
        <v>559</v>
      </c>
      <c r="J225" t="s">
        <v>560</v>
      </c>
      <c r="K225" t="s">
        <v>462</v>
      </c>
      <c r="L225" t="s">
        <v>463</v>
      </c>
      <c r="M225">
        <v>1960</v>
      </c>
      <c r="N225">
        <v>17080</v>
      </c>
      <c r="O225">
        <v>15120</v>
      </c>
      <c r="P225">
        <v>0</v>
      </c>
      <c r="Q225" t="s">
        <v>99</v>
      </c>
      <c r="R225" t="s">
        <v>100</v>
      </c>
      <c r="S225">
        <v>0</v>
      </c>
    </row>
    <row r="226" spans="1:19" hidden="1" x14ac:dyDescent="0.25">
      <c r="A226" t="s">
        <v>776</v>
      </c>
      <c r="B226" t="s">
        <v>777</v>
      </c>
      <c r="C226" s="1">
        <v>46030</v>
      </c>
      <c r="D226" t="s">
        <v>430</v>
      </c>
      <c r="E226" t="s">
        <v>238</v>
      </c>
      <c r="F226" t="s">
        <v>246</v>
      </c>
      <c r="G226" t="s">
        <v>247</v>
      </c>
      <c r="H226" t="s">
        <v>617</v>
      </c>
      <c r="I226" t="s">
        <v>618</v>
      </c>
      <c r="J226" t="s">
        <v>619</v>
      </c>
      <c r="K226" t="s">
        <v>215</v>
      </c>
      <c r="L226" t="s">
        <v>216</v>
      </c>
      <c r="M226">
        <v>5200</v>
      </c>
      <c r="N226">
        <v>18360</v>
      </c>
      <c r="O226">
        <v>13160</v>
      </c>
      <c r="P226">
        <v>0</v>
      </c>
      <c r="Q226" t="s">
        <v>48</v>
      </c>
      <c r="R226" t="s">
        <v>49</v>
      </c>
      <c r="S226">
        <v>0</v>
      </c>
    </row>
    <row r="227" spans="1:19" hidden="1" x14ac:dyDescent="0.25">
      <c r="A227" t="s">
        <v>778</v>
      </c>
      <c r="B227" t="s">
        <v>779</v>
      </c>
      <c r="C227" s="1">
        <v>46030</v>
      </c>
      <c r="D227" t="s">
        <v>52</v>
      </c>
      <c r="E227" t="s">
        <v>23</v>
      </c>
      <c r="F227" t="s">
        <v>24</v>
      </c>
      <c r="G227" t="s">
        <v>25</v>
      </c>
      <c r="I227" t="s">
        <v>780</v>
      </c>
      <c r="J227" t="s">
        <v>781</v>
      </c>
      <c r="K227" t="s">
        <v>441</v>
      </c>
      <c r="L227" t="s">
        <v>442</v>
      </c>
      <c r="M227">
        <v>2120</v>
      </c>
      <c r="N227">
        <v>17480</v>
      </c>
      <c r="O227">
        <v>15360</v>
      </c>
      <c r="P227">
        <v>0</v>
      </c>
      <c r="Q227" t="s">
        <v>99</v>
      </c>
      <c r="R227" t="s">
        <v>100</v>
      </c>
      <c r="S227">
        <v>0</v>
      </c>
    </row>
    <row r="228" spans="1:19" hidden="1" x14ac:dyDescent="0.25">
      <c r="A228" t="s">
        <v>782</v>
      </c>
      <c r="C228" s="1">
        <v>46031</v>
      </c>
      <c r="D228" t="s">
        <v>237</v>
      </c>
      <c r="E228" t="s">
        <v>238</v>
      </c>
      <c r="F228" t="s">
        <v>239</v>
      </c>
      <c r="G228" t="s">
        <v>240</v>
      </c>
      <c r="H228" t="s">
        <v>783</v>
      </c>
      <c r="I228" t="s">
        <v>784</v>
      </c>
      <c r="J228" t="s">
        <v>785</v>
      </c>
      <c r="K228" t="s">
        <v>215</v>
      </c>
      <c r="L228" t="s">
        <v>216</v>
      </c>
      <c r="M228">
        <v>2320</v>
      </c>
      <c r="N228">
        <v>17440</v>
      </c>
      <c r="O228">
        <v>15120</v>
      </c>
      <c r="P228">
        <v>0</v>
      </c>
      <c r="S228">
        <v>0</v>
      </c>
    </row>
    <row r="229" spans="1:19" x14ac:dyDescent="0.25">
      <c r="C229" s="1"/>
      <c r="M229" s="2">
        <f>SUBTOTAL(9,M212:M228)</f>
        <v>7280</v>
      </c>
    </row>
    <row r="230" spans="1:19" x14ac:dyDescent="0.25">
      <c r="A230" t="s">
        <v>317</v>
      </c>
      <c r="C230" s="1">
        <v>46025</v>
      </c>
      <c r="D230" t="s">
        <v>192</v>
      </c>
      <c r="E230" t="s">
        <v>91</v>
      </c>
      <c r="F230" t="s">
        <v>92</v>
      </c>
      <c r="G230" t="s">
        <v>93</v>
      </c>
      <c r="H230" t="s">
        <v>318</v>
      </c>
      <c r="I230" t="s">
        <v>319</v>
      </c>
      <c r="J230" t="s">
        <v>320</v>
      </c>
      <c r="K230" t="s">
        <v>196</v>
      </c>
      <c r="L230" t="s">
        <v>197</v>
      </c>
      <c r="M230">
        <v>405</v>
      </c>
      <c r="N230">
        <v>15245</v>
      </c>
      <c r="O230">
        <v>14840</v>
      </c>
      <c r="P230">
        <v>0</v>
      </c>
      <c r="S230">
        <v>55</v>
      </c>
    </row>
    <row r="231" spans="1:19" x14ac:dyDescent="0.25">
      <c r="A231" t="s">
        <v>797</v>
      </c>
      <c r="B231" t="s">
        <v>798</v>
      </c>
      <c r="C231" s="1">
        <v>46031</v>
      </c>
      <c r="D231" t="s">
        <v>192</v>
      </c>
      <c r="E231" t="s">
        <v>91</v>
      </c>
      <c r="F231" t="s">
        <v>92</v>
      </c>
      <c r="G231" t="s">
        <v>93</v>
      </c>
      <c r="H231" t="s">
        <v>318</v>
      </c>
      <c r="I231" t="s">
        <v>319</v>
      </c>
      <c r="J231" t="s">
        <v>320</v>
      </c>
      <c r="K231" t="s">
        <v>196</v>
      </c>
      <c r="L231" t="s">
        <v>197</v>
      </c>
      <c r="M231">
        <v>475</v>
      </c>
      <c r="N231">
        <v>15295</v>
      </c>
      <c r="O231">
        <v>14820</v>
      </c>
      <c r="P231">
        <v>0</v>
      </c>
      <c r="Q231" t="s">
        <v>99</v>
      </c>
      <c r="R231" t="s">
        <v>100</v>
      </c>
      <c r="S231">
        <v>65</v>
      </c>
    </row>
    <row r="232" spans="1:19" hidden="1" x14ac:dyDescent="0.25">
      <c r="A232" t="s">
        <v>795</v>
      </c>
      <c r="B232" t="s">
        <v>796</v>
      </c>
      <c r="C232" s="1">
        <v>46031</v>
      </c>
      <c r="D232" t="s">
        <v>45</v>
      </c>
      <c r="E232" t="s">
        <v>23</v>
      </c>
      <c r="F232" t="s">
        <v>24</v>
      </c>
      <c r="G232" t="s">
        <v>25</v>
      </c>
      <c r="I232" t="s">
        <v>274</v>
      </c>
      <c r="J232" t="s">
        <v>275</v>
      </c>
      <c r="K232" t="s">
        <v>276</v>
      </c>
      <c r="L232" t="s">
        <v>277</v>
      </c>
      <c r="M232">
        <v>2660</v>
      </c>
      <c r="N232">
        <v>19960</v>
      </c>
      <c r="O232">
        <v>17300</v>
      </c>
      <c r="P232">
        <v>0</v>
      </c>
      <c r="S232">
        <v>0</v>
      </c>
    </row>
    <row r="233" spans="1:19" x14ac:dyDescent="0.25">
      <c r="C233" s="1"/>
      <c r="M233" s="2">
        <f>SUBTOTAL(9,M230:M232)</f>
        <v>880</v>
      </c>
    </row>
    <row r="234" spans="1:19" x14ac:dyDescent="0.25">
      <c r="A234" t="s">
        <v>329</v>
      </c>
      <c r="C234" s="1">
        <v>46025</v>
      </c>
      <c r="D234" t="s">
        <v>192</v>
      </c>
      <c r="E234" t="s">
        <v>91</v>
      </c>
      <c r="F234" t="s">
        <v>92</v>
      </c>
      <c r="G234" t="s">
        <v>93</v>
      </c>
      <c r="H234" t="s">
        <v>330</v>
      </c>
      <c r="I234" t="s">
        <v>319</v>
      </c>
      <c r="J234" t="s">
        <v>320</v>
      </c>
      <c r="K234" t="s">
        <v>97</v>
      </c>
      <c r="L234" t="s">
        <v>98</v>
      </c>
      <c r="M234">
        <v>3460</v>
      </c>
      <c r="N234">
        <v>17320</v>
      </c>
      <c r="O234">
        <v>13860</v>
      </c>
      <c r="P234">
        <v>0</v>
      </c>
      <c r="S234">
        <v>0</v>
      </c>
    </row>
    <row r="235" spans="1:19" hidden="1" x14ac:dyDescent="0.25">
      <c r="A235" t="s">
        <v>799</v>
      </c>
      <c r="B235" t="s">
        <v>800</v>
      </c>
      <c r="C235" s="1">
        <v>46031</v>
      </c>
      <c r="D235" t="s">
        <v>801</v>
      </c>
      <c r="E235" t="s">
        <v>238</v>
      </c>
      <c r="F235" t="s">
        <v>239</v>
      </c>
      <c r="G235" t="s">
        <v>240</v>
      </c>
      <c r="H235" t="s">
        <v>802</v>
      </c>
      <c r="I235" t="s">
        <v>803</v>
      </c>
      <c r="J235" t="s">
        <v>804</v>
      </c>
      <c r="K235" t="s">
        <v>215</v>
      </c>
      <c r="L235" t="s">
        <v>216</v>
      </c>
      <c r="M235">
        <v>1340</v>
      </c>
      <c r="N235">
        <v>15920</v>
      </c>
      <c r="O235">
        <v>14580</v>
      </c>
      <c r="P235">
        <v>0</v>
      </c>
      <c r="Q235" t="s">
        <v>48</v>
      </c>
      <c r="R235" t="s">
        <v>49</v>
      </c>
      <c r="S235">
        <v>0</v>
      </c>
    </row>
    <row r="236" spans="1:19" hidden="1" x14ac:dyDescent="0.25">
      <c r="A236" t="s">
        <v>805</v>
      </c>
      <c r="B236" t="s">
        <v>806</v>
      </c>
      <c r="C236" s="1">
        <v>46031</v>
      </c>
      <c r="D236" t="s">
        <v>807</v>
      </c>
      <c r="E236" t="s">
        <v>220</v>
      </c>
      <c r="F236" t="s">
        <v>528</v>
      </c>
      <c r="G236" t="s">
        <v>529</v>
      </c>
      <c r="H236" t="s">
        <v>222</v>
      </c>
      <c r="I236" t="s">
        <v>19</v>
      </c>
      <c r="J236" t="s">
        <v>223</v>
      </c>
      <c r="K236" t="s">
        <v>28</v>
      </c>
      <c r="L236" t="s">
        <v>29</v>
      </c>
      <c r="M236">
        <v>21000</v>
      </c>
      <c r="N236">
        <v>38320</v>
      </c>
      <c r="O236">
        <v>17320</v>
      </c>
      <c r="P236">
        <v>0</v>
      </c>
      <c r="S236">
        <v>0</v>
      </c>
    </row>
    <row r="237" spans="1:19" hidden="1" x14ac:dyDescent="0.25">
      <c r="A237" t="s">
        <v>808</v>
      </c>
      <c r="B237" t="s">
        <v>809</v>
      </c>
      <c r="C237" s="1">
        <v>46031</v>
      </c>
      <c r="D237" t="s">
        <v>185</v>
      </c>
      <c r="E237" t="s">
        <v>23</v>
      </c>
      <c r="F237" t="s">
        <v>24</v>
      </c>
      <c r="G237" t="s">
        <v>25</v>
      </c>
      <c r="I237" t="s">
        <v>810</v>
      </c>
      <c r="J237" t="s">
        <v>811</v>
      </c>
      <c r="K237" t="s">
        <v>284</v>
      </c>
      <c r="L237" t="s">
        <v>285</v>
      </c>
      <c r="M237">
        <v>1700</v>
      </c>
      <c r="N237">
        <v>16740</v>
      </c>
      <c r="O237">
        <v>15040</v>
      </c>
      <c r="P237">
        <v>10</v>
      </c>
      <c r="Q237" t="s">
        <v>99</v>
      </c>
      <c r="R237" t="s">
        <v>100</v>
      </c>
      <c r="S237">
        <v>0</v>
      </c>
    </row>
    <row r="238" spans="1:19" hidden="1" x14ac:dyDescent="0.25">
      <c r="A238" t="s">
        <v>812</v>
      </c>
      <c r="B238" t="s">
        <v>813</v>
      </c>
      <c r="C238" s="1">
        <v>46031</v>
      </c>
      <c r="D238" t="s">
        <v>52</v>
      </c>
      <c r="E238" t="s">
        <v>23</v>
      </c>
      <c r="F238" t="s">
        <v>24</v>
      </c>
      <c r="G238" t="s">
        <v>25</v>
      </c>
      <c r="I238" t="s">
        <v>206</v>
      </c>
      <c r="J238" t="s">
        <v>207</v>
      </c>
      <c r="K238" t="s">
        <v>28</v>
      </c>
      <c r="L238" t="s">
        <v>29</v>
      </c>
      <c r="M238">
        <v>3840</v>
      </c>
      <c r="N238">
        <v>21620</v>
      </c>
      <c r="O238">
        <v>17780</v>
      </c>
      <c r="P238">
        <v>0</v>
      </c>
      <c r="S238">
        <v>0</v>
      </c>
    </row>
    <row r="239" spans="1:19" hidden="1" x14ac:dyDescent="0.25">
      <c r="A239" t="s">
        <v>814</v>
      </c>
      <c r="B239" t="s">
        <v>815</v>
      </c>
      <c r="C239" s="1">
        <v>46031</v>
      </c>
      <c r="D239" t="s">
        <v>45</v>
      </c>
      <c r="E239" t="s">
        <v>23</v>
      </c>
      <c r="F239" t="s">
        <v>24</v>
      </c>
      <c r="G239" t="s">
        <v>25</v>
      </c>
      <c r="I239" t="s">
        <v>274</v>
      </c>
      <c r="J239" t="s">
        <v>275</v>
      </c>
      <c r="K239" t="s">
        <v>196</v>
      </c>
      <c r="L239" t="s">
        <v>197</v>
      </c>
      <c r="M239">
        <v>2226</v>
      </c>
      <c r="N239">
        <v>18386</v>
      </c>
      <c r="O239">
        <v>16160</v>
      </c>
      <c r="P239">
        <v>3</v>
      </c>
      <c r="Q239" t="s">
        <v>99</v>
      </c>
      <c r="R239" t="s">
        <v>100</v>
      </c>
      <c r="S239">
        <v>194</v>
      </c>
    </row>
    <row r="240" spans="1:19" hidden="1" x14ac:dyDescent="0.25">
      <c r="A240" t="s">
        <v>816</v>
      </c>
      <c r="B240" t="s">
        <v>817</v>
      </c>
      <c r="C240" s="1">
        <v>46031</v>
      </c>
      <c r="D240" t="s">
        <v>818</v>
      </c>
      <c r="E240" t="s">
        <v>211</v>
      </c>
      <c r="F240" t="s">
        <v>819</v>
      </c>
      <c r="G240" t="s">
        <v>820</v>
      </c>
      <c r="H240" t="s">
        <v>821</v>
      </c>
      <c r="I240" t="s">
        <v>62</v>
      </c>
      <c r="J240" t="s">
        <v>137</v>
      </c>
      <c r="K240" t="s">
        <v>822</v>
      </c>
      <c r="L240" t="s">
        <v>823</v>
      </c>
      <c r="M240">
        <v>21600</v>
      </c>
      <c r="N240">
        <v>38960</v>
      </c>
      <c r="O240">
        <v>17360</v>
      </c>
      <c r="P240">
        <v>0</v>
      </c>
      <c r="S240">
        <v>0</v>
      </c>
    </row>
    <row r="241" spans="1:19" hidden="1" x14ac:dyDescent="0.25">
      <c r="A241" t="s">
        <v>824</v>
      </c>
      <c r="B241" t="s">
        <v>825</v>
      </c>
      <c r="C241" s="1">
        <v>46031</v>
      </c>
      <c r="D241" t="s">
        <v>185</v>
      </c>
      <c r="E241" t="s">
        <v>23</v>
      </c>
      <c r="F241" t="s">
        <v>24</v>
      </c>
      <c r="G241" t="s">
        <v>25</v>
      </c>
      <c r="I241" t="s">
        <v>827</v>
      </c>
      <c r="J241" t="s">
        <v>826</v>
      </c>
      <c r="K241" t="s">
        <v>196</v>
      </c>
      <c r="L241" t="s">
        <v>197</v>
      </c>
      <c r="M241">
        <v>186</v>
      </c>
      <c r="N241">
        <v>14406</v>
      </c>
      <c r="O241">
        <v>14220</v>
      </c>
      <c r="P241">
        <v>5</v>
      </c>
      <c r="Q241" t="s">
        <v>99</v>
      </c>
      <c r="R241" t="s">
        <v>100</v>
      </c>
      <c r="S241">
        <v>14</v>
      </c>
    </row>
    <row r="242" spans="1:19" hidden="1" x14ac:dyDescent="0.25">
      <c r="A242" t="s">
        <v>828</v>
      </c>
      <c r="B242" t="s">
        <v>829</v>
      </c>
      <c r="C242" s="1">
        <v>46031</v>
      </c>
      <c r="D242" t="s">
        <v>830</v>
      </c>
      <c r="E242" t="s">
        <v>648</v>
      </c>
      <c r="F242" t="s">
        <v>649</v>
      </c>
      <c r="G242" t="s">
        <v>650</v>
      </c>
      <c r="H242" t="s">
        <v>651</v>
      </c>
      <c r="I242" t="s">
        <v>652</v>
      </c>
      <c r="J242" t="s">
        <v>653</v>
      </c>
      <c r="K242" t="s">
        <v>472</v>
      </c>
      <c r="L242" t="s">
        <v>473</v>
      </c>
      <c r="M242">
        <v>26180</v>
      </c>
      <c r="N242">
        <v>40560</v>
      </c>
      <c r="O242">
        <v>14380</v>
      </c>
      <c r="P242">
        <v>0</v>
      </c>
      <c r="S242">
        <v>0</v>
      </c>
    </row>
    <row r="243" spans="1:19" hidden="1" x14ac:dyDescent="0.25">
      <c r="A243" t="s">
        <v>831</v>
      </c>
      <c r="B243" t="s">
        <v>832</v>
      </c>
      <c r="C243" s="1">
        <v>46031</v>
      </c>
      <c r="D243" t="s">
        <v>185</v>
      </c>
      <c r="E243" t="s">
        <v>23</v>
      </c>
      <c r="F243" t="s">
        <v>24</v>
      </c>
      <c r="G243" t="s">
        <v>25</v>
      </c>
      <c r="I243" t="s">
        <v>305</v>
      </c>
      <c r="J243" t="s">
        <v>306</v>
      </c>
      <c r="K243" t="s">
        <v>307</v>
      </c>
      <c r="L243" t="s">
        <v>308</v>
      </c>
      <c r="M243">
        <v>6720</v>
      </c>
      <c r="N243">
        <v>21260</v>
      </c>
      <c r="O243">
        <v>14540</v>
      </c>
      <c r="P243">
        <v>0</v>
      </c>
      <c r="Q243" t="s">
        <v>99</v>
      </c>
      <c r="R243" t="s">
        <v>100</v>
      </c>
      <c r="S243">
        <v>1680</v>
      </c>
    </row>
    <row r="244" spans="1:19" hidden="1" x14ac:dyDescent="0.25">
      <c r="A244" t="s">
        <v>833</v>
      </c>
      <c r="B244" t="s">
        <v>834</v>
      </c>
      <c r="C244" s="1">
        <v>46031</v>
      </c>
      <c r="D244" t="s">
        <v>835</v>
      </c>
      <c r="E244" t="s">
        <v>211</v>
      </c>
      <c r="F244" t="s">
        <v>819</v>
      </c>
      <c r="G244" t="s">
        <v>820</v>
      </c>
      <c r="H244" t="s">
        <v>836</v>
      </c>
      <c r="I244" t="s">
        <v>62</v>
      </c>
      <c r="J244" t="s">
        <v>137</v>
      </c>
      <c r="K244" t="s">
        <v>837</v>
      </c>
      <c r="L244" t="s">
        <v>838</v>
      </c>
      <c r="M244">
        <v>10780</v>
      </c>
      <c r="N244">
        <v>27460</v>
      </c>
      <c r="O244">
        <v>16680</v>
      </c>
      <c r="P244">
        <v>0</v>
      </c>
      <c r="S244">
        <v>0</v>
      </c>
    </row>
    <row r="245" spans="1:19" hidden="1" x14ac:dyDescent="0.25">
      <c r="A245" t="s">
        <v>839</v>
      </c>
      <c r="B245" t="s">
        <v>840</v>
      </c>
      <c r="C245" s="1">
        <v>46031</v>
      </c>
      <c r="D245" t="s">
        <v>841</v>
      </c>
      <c r="E245" t="s">
        <v>23</v>
      </c>
      <c r="F245" t="s">
        <v>24</v>
      </c>
      <c r="G245" t="s">
        <v>25</v>
      </c>
      <c r="I245" t="s">
        <v>842</v>
      </c>
      <c r="J245" t="s">
        <v>843</v>
      </c>
      <c r="K245" t="s">
        <v>196</v>
      </c>
      <c r="L245" t="s">
        <v>197</v>
      </c>
      <c r="M245">
        <v>1091</v>
      </c>
      <c r="N245">
        <v>18491</v>
      </c>
      <c r="O245">
        <v>17400</v>
      </c>
      <c r="P245">
        <v>0</v>
      </c>
      <c r="Q245" t="s">
        <v>99</v>
      </c>
      <c r="R245" t="s">
        <v>100</v>
      </c>
      <c r="S245">
        <v>149</v>
      </c>
    </row>
    <row r="246" spans="1:19" hidden="1" x14ac:dyDescent="0.25">
      <c r="A246" t="s">
        <v>844</v>
      </c>
      <c r="B246" t="s">
        <v>845</v>
      </c>
      <c r="C246" s="1">
        <v>46031</v>
      </c>
      <c r="D246" t="s">
        <v>846</v>
      </c>
      <c r="E246" t="s">
        <v>238</v>
      </c>
      <c r="F246" t="s">
        <v>239</v>
      </c>
      <c r="G246" t="s">
        <v>240</v>
      </c>
      <c r="H246" t="s">
        <v>241</v>
      </c>
      <c r="I246" t="s">
        <v>242</v>
      </c>
      <c r="J246" t="s">
        <v>243</v>
      </c>
      <c r="K246" t="s">
        <v>215</v>
      </c>
      <c r="L246" t="s">
        <v>216</v>
      </c>
      <c r="M246">
        <v>4020</v>
      </c>
      <c r="N246">
        <v>18680</v>
      </c>
      <c r="O246">
        <v>14660</v>
      </c>
      <c r="P246">
        <v>0</v>
      </c>
      <c r="Q246" t="s">
        <v>48</v>
      </c>
      <c r="R246" t="s">
        <v>49</v>
      </c>
      <c r="S246">
        <v>0</v>
      </c>
    </row>
    <row r="247" spans="1:19" hidden="1" x14ac:dyDescent="0.25">
      <c r="A247" t="s">
        <v>847</v>
      </c>
      <c r="B247" t="s">
        <v>848</v>
      </c>
      <c r="C247" s="1">
        <v>46031</v>
      </c>
      <c r="D247" t="s">
        <v>237</v>
      </c>
      <c r="E247" t="s">
        <v>238</v>
      </c>
      <c r="F247" t="s">
        <v>239</v>
      </c>
      <c r="G247" t="s">
        <v>240</v>
      </c>
      <c r="H247" t="s">
        <v>783</v>
      </c>
      <c r="I247" t="s">
        <v>784</v>
      </c>
      <c r="J247" t="s">
        <v>785</v>
      </c>
      <c r="K247" t="s">
        <v>215</v>
      </c>
      <c r="L247" t="s">
        <v>216</v>
      </c>
      <c r="M247">
        <v>5040</v>
      </c>
      <c r="N247">
        <v>20280</v>
      </c>
      <c r="O247">
        <v>15240</v>
      </c>
      <c r="P247">
        <v>0</v>
      </c>
      <c r="Q247" t="s">
        <v>48</v>
      </c>
      <c r="R247" t="s">
        <v>49</v>
      </c>
      <c r="S247">
        <v>0</v>
      </c>
    </row>
    <row r="248" spans="1:19" hidden="1" x14ac:dyDescent="0.25">
      <c r="A248" t="s">
        <v>849</v>
      </c>
      <c r="B248" t="s">
        <v>850</v>
      </c>
      <c r="C248" s="1">
        <v>46031</v>
      </c>
      <c r="D248" t="s">
        <v>52</v>
      </c>
      <c r="E248" t="s">
        <v>23</v>
      </c>
      <c r="F248" t="s">
        <v>24</v>
      </c>
      <c r="G248" t="s">
        <v>25</v>
      </c>
      <c r="I248" t="s">
        <v>345</v>
      </c>
      <c r="J248" t="s">
        <v>346</v>
      </c>
      <c r="K248" t="s">
        <v>215</v>
      </c>
      <c r="L248" t="s">
        <v>216</v>
      </c>
      <c r="M248">
        <v>2240</v>
      </c>
      <c r="N248">
        <v>17800</v>
      </c>
      <c r="O248">
        <v>15560</v>
      </c>
      <c r="P248">
        <v>0</v>
      </c>
      <c r="Q248" t="s">
        <v>99</v>
      </c>
      <c r="R248" t="s">
        <v>100</v>
      </c>
      <c r="S248">
        <v>0</v>
      </c>
    </row>
    <row r="249" spans="1:19" hidden="1" x14ac:dyDescent="0.25">
      <c r="A249" t="s">
        <v>851</v>
      </c>
      <c r="B249" t="s">
        <v>852</v>
      </c>
      <c r="C249" s="1">
        <v>46031</v>
      </c>
      <c r="D249" t="s">
        <v>45</v>
      </c>
      <c r="E249" t="s">
        <v>23</v>
      </c>
      <c r="F249" t="s">
        <v>24</v>
      </c>
      <c r="G249" t="s">
        <v>25</v>
      </c>
      <c r="I249" t="s">
        <v>338</v>
      </c>
      <c r="J249" t="s">
        <v>339</v>
      </c>
      <c r="K249" t="s">
        <v>215</v>
      </c>
      <c r="L249" t="s">
        <v>216</v>
      </c>
      <c r="M249">
        <v>2420</v>
      </c>
      <c r="N249">
        <v>17820</v>
      </c>
      <c r="O249">
        <v>15400</v>
      </c>
      <c r="P249">
        <v>0</v>
      </c>
      <c r="Q249" t="s">
        <v>99</v>
      </c>
      <c r="R249" t="s">
        <v>100</v>
      </c>
      <c r="S249">
        <v>0</v>
      </c>
    </row>
    <row r="250" spans="1:19" hidden="1" x14ac:dyDescent="0.25">
      <c r="A250" t="s">
        <v>853</v>
      </c>
      <c r="B250" t="s">
        <v>854</v>
      </c>
      <c r="C250" s="1">
        <v>46031</v>
      </c>
      <c r="D250" t="s">
        <v>22</v>
      </c>
      <c r="E250" t="s">
        <v>23</v>
      </c>
      <c r="F250" t="s">
        <v>24</v>
      </c>
      <c r="G250" t="s">
        <v>25</v>
      </c>
      <c r="I250" t="s">
        <v>226</v>
      </c>
      <c r="J250" t="s">
        <v>227</v>
      </c>
      <c r="K250" t="s">
        <v>196</v>
      </c>
      <c r="L250" t="s">
        <v>197</v>
      </c>
      <c r="M250">
        <v>1296</v>
      </c>
      <c r="N250">
        <v>20116</v>
      </c>
      <c r="O250">
        <v>18820</v>
      </c>
      <c r="P250">
        <v>0</v>
      </c>
      <c r="S250">
        <v>324</v>
      </c>
    </row>
    <row r="251" spans="1:19" hidden="1" x14ac:dyDescent="0.25">
      <c r="A251" t="s">
        <v>855</v>
      </c>
      <c r="B251" t="s">
        <v>856</v>
      </c>
      <c r="C251" s="1">
        <v>46031</v>
      </c>
      <c r="D251" t="s">
        <v>410</v>
      </c>
      <c r="E251" t="s">
        <v>411</v>
      </c>
      <c r="F251" t="s">
        <v>413</v>
      </c>
      <c r="G251" t="s">
        <v>414</v>
      </c>
      <c r="H251" t="s">
        <v>415</v>
      </c>
      <c r="I251" t="s">
        <v>416</v>
      </c>
      <c r="J251" t="s">
        <v>412</v>
      </c>
      <c r="K251" t="s">
        <v>298</v>
      </c>
      <c r="L251" t="s">
        <v>101</v>
      </c>
      <c r="M251">
        <v>18260</v>
      </c>
      <c r="N251">
        <v>40300</v>
      </c>
      <c r="O251">
        <v>22040</v>
      </c>
      <c r="P251">
        <v>0</v>
      </c>
      <c r="S251">
        <v>0</v>
      </c>
    </row>
    <row r="252" spans="1:19" hidden="1" x14ac:dyDescent="0.25">
      <c r="A252" t="s">
        <v>857</v>
      </c>
      <c r="B252" t="s">
        <v>858</v>
      </c>
      <c r="C252" s="1">
        <v>46031</v>
      </c>
      <c r="D252" t="s">
        <v>753</v>
      </c>
      <c r="E252" t="s">
        <v>238</v>
      </c>
      <c r="F252" t="s">
        <v>246</v>
      </c>
      <c r="G252" t="s">
        <v>247</v>
      </c>
      <c r="H252" t="s">
        <v>248</v>
      </c>
      <c r="I252" t="s">
        <v>249</v>
      </c>
      <c r="J252" t="s">
        <v>250</v>
      </c>
      <c r="K252" t="s">
        <v>215</v>
      </c>
      <c r="L252" t="s">
        <v>216</v>
      </c>
      <c r="M252">
        <v>3040</v>
      </c>
      <c r="N252">
        <v>16140</v>
      </c>
      <c r="O252">
        <v>13100</v>
      </c>
      <c r="P252">
        <v>0</v>
      </c>
      <c r="Q252" t="s">
        <v>48</v>
      </c>
      <c r="R252" t="s">
        <v>49</v>
      </c>
      <c r="S252">
        <v>0</v>
      </c>
    </row>
    <row r="253" spans="1:19" hidden="1" x14ac:dyDescent="0.25">
      <c r="A253" t="s">
        <v>859</v>
      </c>
      <c r="B253" t="s">
        <v>860</v>
      </c>
      <c r="C253" s="1">
        <v>46031</v>
      </c>
      <c r="D253" t="s">
        <v>861</v>
      </c>
      <c r="E253" t="s">
        <v>220</v>
      </c>
      <c r="F253" t="s">
        <v>604</v>
      </c>
      <c r="G253" t="s">
        <v>605</v>
      </c>
      <c r="H253" t="s">
        <v>606</v>
      </c>
      <c r="I253" t="s">
        <v>19</v>
      </c>
      <c r="J253" t="s">
        <v>223</v>
      </c>
      <c r="K253" t="s">
        <v>200</v>
      </c>
      <c r="L253" t="s">
        <v>201</v>
      </c>
      <c r="M253">
        <v>25780</v>
      </c>
      <c r="N253">
        <v>44220</v>
      </c>
      <c r="O253">
        <v>18440</v>
      </c>
      <c r="P253">
        <v>0</v>
      </c>
      <c r="S253">
        <v>0</v>
      </c>
    </row>
    <row r="254" spans="1:19" hidden="1" x14ac:dyDescent="0.25">
      <c r="A254" t="s">
        <v>862</v>
      </c>
      <c r="B254" t="s">
        <v>863</v>
      </c>
      <c r="C254" s="1">
        <v>46031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62</v>
      </c>
      <c r="J254" t="s">
        <v>137</v>
      </c>
      <c r="K254" t="s">
        <v>215</v>
      </c>
      <c r="L254" t="s">
        <v>216</v>
      </c>
      <c r="M254">
        <v>1480</v>
      </c>
      <c r="N254">
        <v>15760</v>
      </c>
      <c r="O254">
        <v>14280</v>
      </c>
      <c r="P254">
        <v>0</v>
      </c>
      <c r="S254">
        <v>0</v>
      </c>
    </row>
    <row r="255" spans="1:19" hidden="1" x14ac:dyDescent="0.25">
      <c r="A255" t="s">
        <v>864</v>
      </c>
      <c r="B255" t="s">
        <v>865</v>
      </c>
      <c r="C255" s="1">
        <v>46031</v>
      </c>
      <c r="D255" t="s">
        <v>627</v>
      </c>
      <c r="E255" t="s">
        <v>628</v>
      </c>
      <c r="F255" t="s">
        <v>629</v>
      </c>
      <c r="G255" t="s">
        <v>630</v>
      </c>
      <c r="I255" t="s">
        <v>631</v>
      </c>
      <c r="J255" t="s">
        <v>632</v>
      </c>
      <c r="K255" t="s">
        <v>284</v>
      </c>
      <c r="L255" t="s">
        <v>285</v>
      </c>
      <c r="M255">
        <v>720</v>
      </c>
      <c r="N255">
        <v>11820</v>
      </c>
      <c r="O255">
        <v>11100</v>
      </c>
      <c r="P255">
        <v>15</v>
      </c>
      <c r="Q255" t="s">
        <v>99</v>
      </c>
      <c r="R255" t="s">
        <v>100</v>
      </c>
      <c r="S255">
        <v>0</v>
      </c>
    </row>
    <row r="256" spans="1:19" x14ac:dyDescent="0.25">
      <c r="C256" s="1"/>
      <c r="M256" s="2">
        <f>SUBTOTAL(9,M234:M255)</f>
        <v>3460</v>
      </c>
    </row>
    <row r="257" spans="1:19" x14ac:dyDescent="0.25">
      <c r="A257" t="s">
        <v>443</v>
      </c>
      <c r="B257" t="s">
        <v>444</v>
      </c>
      <c r="C257" s="1">
        <v>46027</v>
      </c>
      <c r="D257" t="s">
        <v>192</v>
      </c>
      <c r="E257" t="s">
        <v>91</v>
      </c>
      <c r="F257" t="s">
        <v>92</v>
      </c>
      <c r="G257" t="s">
        <v>93</v>
      </c>
      <c r="H257" t="s">
        <v>445</v>
      </c>
      <c r="I257" t="s">
        <v>319</v>
      </c>
      <c r="J257" t="s">
        <v>320</v>
      </c>
      <c r="K257" t="s">
        <v>200</v>
      </c>
      <c r="L257" t="s">
        <v>201</v>
      </c>
      <c r="M257">
        <v>3020</v>
      </c>
      <c r="N257">
        <v>16680</v>
      </c>
      <c r="O257">
        <v>13660</v>
      </c>
      <c r="P257">
        <v>0</v>
      </c>
      <c r="Q257" t="s">
        <v>99</v>
      </c>
      <c r="R257" t="s">
        <v>100</v>
      </c>
      <c r="S257">
        <v>0</v>
      </c>
    </row>
    <row r="258" spans="1:19" x14ac:dyDescent="0.25">
      <c r="C258" s="1"/>
      <c r="M258" s="2">
        <f>SUBTOTAL(9,M257)</f>
        <v>3020</v>
      </c>
    </row>
    <row r="259" spans="1:19" x14ac:dyDescent="0.25">
      <c r="A259" t="s">
        <v>381</v>
      </c>
      <c r="B259" t="s">
        <v>382</v>
      </c>
      <c r="C259" s="1">
        <v>46027</v>
      </c>
      <c r="D259" t="s">
        <v>383</v>
      </c>
      <c r="E259" t="s">
        <v>91</v>
      </c>
      <c r="F259" t="s">
        <v>92</v>
      </c>
      <c r="G259" t="s">
        <v>93</v>
      </c>
      <c r="H259" t="s">
        <v>384</v>
      </c>
      <c r="I259" t="s">
        <v>95</v>
      </c>
      <c r="J259" t="s">
        <v>96</v>
      </c>
      <c r="K259" t="s">
        <v>28</v>
      </c>
      <c r="L259" t="s">
        <v>29</v>
      </c>
      <c r="M259">
        <v>4640</v>
      </c>
      <c r="N259">
        <v>18580</v>
      </c>
      <c r="O259">
        <v>13940</v>
      </c>
      <c r="P259">
        <v>0</v>
      </c>
      <c r="Q259" t="s">
        <v>48</v>
      </c>
      <c r="R259" t="s">
        <v>49</v>
      </c>
      <c r="S259">
        <v>0</v>
      </c>
    </row>
    <row r="260" spans="1:19" hidden="1" x14ac:dyDescent="0.25">
      <c r="A260" t="s">
        <v>867</v>
      </c>
      <c r="C260" s="1">
        <v>46031</v>
      </c>
      <c r="D260" t="s">
        <v>841</v>
      </c>
      <c r="E260" t="s">
        <v>23</v>
      </c>
      <c r="F260" t="s">
        <v>24</v>
      </c>
      <c r="G260" t="s">
        <v>25</v>
      </c>
      <c r="I260" t="s">
        <v>868</v>
      </c>
      <c r="J260" t="s">
        <v>869</v>
      </c>
      <c r="K260" t="s">
        <v>870</v>
      </c>
      <c r="L260" t="s">
        <v>871</v>
      </c>
      <c r="M260">
        <v>686</v>
      </c>
      <c r="N260">
        <v>15846</v>
      </c>
      <c r="O260">
        <v>15160</v>
      </c>
      <c r="P260">
        <v>20</v>
      </c>
      <c r="Q260" t="s">
        <v>99</v>
      </c>
      <c r="R260" t="s">
        <v>100</v>
      </c>
      <c r="S260">
        <v>94</v>
      </c>
    </row>
    <row r="261" spans="1:19" hidden="1" x14ac:dyDescent="0.25">
      <c r="A261" t="s">
        <v>872</v>
      </c>
      <c r="B261" t="s">
        <v>873</v>
      </c>
      <c r="C261" s="1">
        <v>46031</v>
      </c>
      <c r="D261" t="s">
        <v>237</v>
      </c>
      <c r="E261" t="s">
        <v>238</v>
      </c>
      <c r="F261" t="s">
        <v>239</v>
      </c>
      <c r="G261" t="s">
        <v>240</v>
      </c>
      <c r="H261" t="s">
        <v>783</v>
      </c>
      <c r="I261" t="s">
        <v>784</v>
      </c>
      <c r="J261" t="s">
        <v>785</v>
      </c>
      <c r="K261" t="s">
        <v>215</v>
      </c>
      <c r="L261" t="s">
        <v>216</v>
      </c>
      <c r="M261">
        <v>2620</v>
      </c>
      <c r="N261">
        <v>17840</v>
      </c>
      <c r="O261">
        <v>15220</v>
      </c>
      <c r="P261">
        <v>0</v>
      </c>
      <c r="Q261" t="s">
        <v>48</v>
      </c>
      <c r="R261" t="s">
        <v>49</v>
      </c>
      <c r="S261">
        <v>0</v>
      </c>
    </row>
    <row r="262" spans="1:19" hidden="1" x14ac:dyDescent="0.25">
      <c r="A262" t="s">
        <v>874</v>
      </c>
      <c r="B262" t="s">
        <v>875</v>
      </c>
      <c r="C262" s="1">
        <v>46031</v>
      </c>
      <c r="D262" t="s">
        <v>45</v>
      </c>
      <c r="E262" t="s">
        <v>23</v>
      </c>
      <c r="F262" t="s">
        <v>24</v>
      </c>
      <c r="G262" t="s">
        <v>25</v>
      </c>
      <c r="I262" t="s">
        <v>876</v>
      </c>
      <c r="J262" t="s">
        <v>877</v>
      </c>
      <c r="K262" t="s">
        <v>284</v>
      </c>
      <c r="L262" t="s">
        <v>285</v>
      </c>
      <c r="M262">
        <v>3360</v>
      </c>
      <c r="N262">
        <v>18700</v>
      </c>
      <c r="O262">
        <v>15340</v>
      </c>
      <c r="P262">
        <v>0</v>
      </c>
      <c r="Q262" t="s">
        <v>99</v>
      </c>
      <c r="R262" t="s">
        <v>100</v>
      </c>
      <c r="S262">
        <v>0</v>
      </c>
    </row>
    <row r="263" spans="1:19" hidden="1" x14ac:dyDescent="0.25">
      <c r="A263" t="s">
        <v>878</v>
      </c>
      <c r="B263" t="s">
        <v>879</v>
      </c>
      <c r="C263" s="1">
        <v>46031</v>
      </c>
      <c r="D263" t="s">
        <v>880</v>
      </c>
      <c r="E263" t="s">
        <v>881</v>
      </c>
      <c r="F263" t="s">
        <v>882</v>
      </c>
      <c r="G263" t="s">
        <v>883</v>
      </c>
      <c r="H263" t="s">
        <v>884</v>
      </c>
      <c r="I263" t="s">
        <v>885</v>
      </c>
      <c r="J263" t="s">
        <v>886</v>
      </c>
      <c r="K263" t="s">
        <v>659</v>
      </c>
      <c r="L263" t="s">
        <v>660</v>
      </c>
      <c r="M263">
        <v>3900</v>
      </c>
      <c r="N263">
        <v>15620</v>
      </c>
      <c r="O263">
        <v>11720</v>
      </c>
      <c r="P263">
        <v>100</v>
      </c>
      <c r="Q263" t="s">
        <v>99</v>
      </c>
      <c r="R263" t="s">
        <v>100</v>
      </c>
      <c r="S263">
        <v>0</v>
      </c>
    </row>
    <row r="264" spans="1:19" hidden="1" x14ac:dyDescent="0.25">
      <c r="A264" t="s">
        <v>887</v>
      </c>
      <c r="B264" t="s">
        <v>888</v>
      </c>
      <c r="C264" s="1">
        <v>46031</v>
      </c>
      <c r="D264" t="s">
        <v>880</v>
      </c>
      <c r="E264" t="s">
        <v>881</v>
      </c>
      <c r="F264" t="s">
        <v>882</v>
      </c>
      <c r="G264" t="s">
        <v>883</v>
      </c>
      <c r="H264" t="s">
        <v>884</v>
      </c>
      <c r="I264" t="s">
        <v>885</v>
      </c>
      <c r="J264" t="s">
        <v>886</v>
      </c>
      <c r="K264" t="s">
        <v>659</v>
      </c>
      <c r="L264" t="s">
        <v>660</v>
      </c>
      <c r="M264">
        <v>1920</v>
      </c>
      <c r="N264">
        <v>13340</v>
      </c>
      <c r="O264">
        <v>11420</v>
      </c>
      <c r="P264">
        <v>100</v>
      </c>
      <c r="Q264" t="s">
        <v>99</v>
      </c>
      <c r="R264" t="s">
        <v>100</v>
      </c>
      <c r="S264">
        <v>0</v>
      </c>
    </row>
    <row r="265" spans="1:19" hidden="1" x14ac:dyDescent="0.25">
      <c r="A265" t="s">
        <v>889</v>
      </c>
      <c r="B265" t="s">
        <v>890</v>
      </c>
      <c r="C265" s="1">
        <v>46031</v>
      </c>
      <c r="D265" t="s">
        <v>185</v>
      </c>
      <c r="E265" t="s">
        <v>23</v>
      </c>
      <c r="F265" t="s">
        <v>24</v>
      </c>
      <c r="G265" t="s">
        <v>25</v>
      </c>
      <c r="I265" t="s">
        <v>891</v>
      </c>
      <c r="J265" t="s">
        <v>892</v>
      </c>
      <c r="K265" t="s">
        <v>462</v>
      </c>
      <c r="L265" t="s">
        <v>463</v>
      </c>
      <c r="M265">
        <v>7120</v>
      </c>
      <c r="N265">
        <v>22500</v>
      </c>
      <c r="O265">
        <v>15380</v>
      </c>
      <c r="P265">
        <v>0</v>
      </c>
      <c r="Q265" t="s">
        <v>99</v>
      </c>
      <c r="R265" t="s">
        <v>100</v>
      </c>
      <c r="S265">
        <v>0</v>
      </c>
    </row>
    <row r="266" spans="1:19" hidden="1" x14ac:dyDescent="0.25">
      <c r="A266" t="s">
        <v>893</v>
      </c>
      <c r="B266" t="s">
        <v>894</v>
      </c>
      <c r="C266" s="1">
        <v>46031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62</v>
      </c>
      <c r="J266" t="s">
        <v>137</v>
      </c>
      <c r="K266" t="s">
        <v>215</v>
      </c>
      <c r="L266" t="s">
        <v>216</v>
      </c>
      <c r="M266">
        <v>2500</v>
      </c>
      <c r="N266">
        <v>16500</v>
      </c>
      <c r="O266">
        <v>14000</v>
      </c>
      <c r="P266">
        <v>0</v>
      </c>
      <c r="S266">
        <v>0</v>
      </c>
    </row>
    <row r="267" spans="1:19" hidden="1" x14ac:dyDescent="0.25">
      <c r="A267" t="s">
        <v>895</v>
      </c>
      <c r="B267" t="s">
        <v>896</v>
      </c>
      <c r="C267" s="1">
        <v>46031</v>
      </c>
      <c r="D267" t="s">
        <v>52</v>
      </c>
      <c r="E267" t="s">
        <v>23</v>
      </c>
      <c r="F267" t="s">
        <v>24</v>
      </c>
      <c r="G267" t="s">
        <v>25</v>
      </c>
      <c r="I267" t="s">
        <v>332</v>
      </c>
      <c r="J267" t="s">
        <v>333</v>
      </c>
      <c r="K267" t="s">
        <v>215</v>
      </c>
      <c r="L267" t="s">
        <v>216</v>
      </c>
      <c r="M267">
        <v>1640</v>
      </c>
      <c r="N267">
        <v>16360</v>
      </c>
      <c r="O267">
        <v>14720</v>
      </c>
      <c r="P267">
        <v>0</v>
      </c>
      <c r="Q267" t="s">
        <v>99</v>
      </c>
      <c r="R267" t="s">
        <v>100</v>
      </c>
      <c r="S267">
        <v>0</v>
      </c>
    </row>
    <row r="268" spans="1:19" x14ac:dyDescent="0.25">
      <c r="C268" s="1"/>
      <c r="M268" s="2">
        <f>SUBTOTAL(9,M259:M267)</f>
        <v>4640</v>
      </c>
    </row>
    <row r="269" spans="1:19" x14ac:dyDescent="0.25">
      <c r="A269" t="s">
        <v>623</v>
      </c>
      <c r="C269" s="1">
        <v>46030</v>
      </c>
      <c r="D269" t="s">
        <v>621</v>
      </c>
      <c r="E269" t="s">
        <v>91</v>
      </c>
      <c r="F269" t="s">
        <v>92</v>
      </c>
      <c r="G269" t="s">
        <v>93</v>
      </c>
      <c r="H269" t="s">
        <v>624</v>
      </c>
      <c r="I269" t="s">
        <v>95</v>
      </c>
      <c r="J269" t="s">
        <v>96</v>
      </c>
      <c r="K269" t="s">
        <v>196</v>
      </c>
      <c r="L269" t="s">
        <v>197</v>
      </c>
      <c r="M269">
        <v>722</v>
      </c>
      <c r="N269">
        <v>14582</v>
      </c>
      <c r="O269">
        <v>13860</v>
      </c>
      <c r="P269">
        <v>0</v>
      </c>
      <c r="S269">
        <v>98</v>
      </c>
    </row>
    <row r="270" spans="1:19" hidden="1" x14ac:dyDescent="0.25">
      <c r="A270" t="s">
        <v>898</v>
      </c>
      <c r="C270" s="1">
        <v>46032</v>
      </c>
      <c r="D270" t="s">
        <v>45</v>
      </c>
      <c r="E270" t="s">
        <v>23</v>
      </c>
      <c r="F270" t="s">
        <v>24</v>
      </c>
      <c r="G270" t="s">
        <v>25</v>
      </c>
      <c r="I270" t="s">
        <v>324</v>
      </c>
      <c r="J270" t="s">
        <v>325</v>
      </c>
      <c r="K270" t="s">
        <v>215</v>
      </c>
      <c r="L270" t="s">
        <v>216</v>
      </c>
      <c r="M270">
        <v>2580</v>
      </c>
      <c r="N270">
        <v>17660</v>
      </c>
      <c r="O270">
        <v>15080</v>
      </c>
      <c r="P270">
        <v>0</v>
      </c>
      <c r="S270">
        <v>0</v>
      </c>
    </row>
    <row r="271" spans="1:19" x14ac:dyDescent="0.25">
      <c r="C271" s="1"/>
      <c r="M271" s="2">
        <f>SUBTOTAL(9,M269:M270)</f>
        <v>722</v>
      </c>
    </row>
    <row r="272" spans="1:19" x14ac:dyDescent="0.25">
      <c r="A272" t="s">
        <v>88</v>
      </c>
      <c r="B272" t="s">
        <v>89</v>
      </c>
      <c r="C272" s="1">
        <v>46028</v>
      </c>
      <c r="D272" t="s">
        <v>90</v>
      </c>
      <c r="E272" t="s">
        <v>91</v>
      </c>
      <c r="F272" t="s">
        <v>92</v>
      </c>
      <c r="G272" t="s">
        <v>93</v>
      </c>
      <c r="H272" t="s">
        <v>94</v>
      </c>
      <c r="I272" t="s">
        <v>95</v>
      </c>
      <c r="J272" t="s">
        <v>96</v>
      </c>
      <c r="K272" t="s">
        <v>97</v>
      </c>
      <c r="L272" t="s">
        <v>98</v>
      </c>
      <c r="M272">
        <v>2560</v>
      </c>
      <c r="N272">
        <v>17120</v>
      </c>
      <c r="O272">
        <v>14560</v>
      </c>
      <c r="P272">
        <v>0</v>
      </c>
      <c r="Q272" t="s">
        <v>99</v>
      </c>
      <c r="R272" t="s">
        <v>100</v>
      </c>
      <c r="S272">
        <v>0</v>
      </c>
    </row>
    <row r="273" spans="1:19" hidden="1" x14ac:dyDescent="0.25">
      <c r="A273" t="s">
        <v>903</v>
      </c>
      <c r="C273" s="1">
        <v>46032</v>
      </c>
      <c r="D273" t="s">
        <v>45</v>
      </c>
      <c r="E273" t="s">
        <v>23</v>
      </c>
      <c r="F273" t="s">
        <v>24</v>
      </c>
      <c r="G273" t="s">
        <v>25</v>
      </c>
      <c r="I273" t="s">
        <v>904</v>
      </c>
      <c r="J273" t="s">
        <v>905</v>
      </c>
      <c r="K273" t="s">
        <v>472</v>
      </c>
      <c r="L273" t="s">
        <v>473</v>
      </c>
      <c r="M273">
        <v>950</v>
      </c>
      <c r="N273">
        <v>15830</v>
      </c>
      <c r="O273">
        <v>14880</v>
      </c>
      <c r="P273">
        <v>0</v>
      </c>
      <c r="S273">
        <v>130</v>
      </c>
    </row>
    <row r="274" spans="1:19" x14ac:dyDescent="0.25">
      <c r="C274" s="1"/>
      <c r="M274" s="2">
        <f>SUBTOTAL(9,M272:M273)</f>
        <v>2560</v>
      </c>
    </row>
    <row r="275" spans="1:19" x14ac:dyDescent="0.25">
      <c r="A275" t="s">
        <v>928</v>
      </c>
      <c r="C275" s="1">
        <v>46033</v>
      </c>
      <c r="D275" t="s">
        <v>352</v>
      </c>
      <c r="E275" t="s">
        <v>91</v>
      </c>
      <c r="F275" t="s">
        <v>92</v>
      </c>
      <c r="G275" t="s">
        <v>93</v>
      </c>
      <c r="H275" t="s">
        <v>929</v>
      </c>
      <c r="I275" t="s">
        <v>930</v>
      </c>
      <c r="J275" t="s">
        <v>931</v>
      </c>
      <c r="K275" t="s">
        <v>28</v>
      </c>
      <c r="L275" t="s">
        <v>29</v>
      </c>
      <c r="M275">
        <v>4460</v>
      </c>
      <c r="N275">
        <v>22680</v>
      </c>
      <c r="O275">
        <v>18220</v>
      </c>
      <c r="P275">
        <v>0</v>
      </c>
      <c r="S275">
        <v>0</v>
      </c>
    </row>
    <row r="276" spans="1:19" x14ac:dyDescent="0.25">
      <c r="C276" s="1"/>
      <c r="M276" s="2">
        <f>SUBTOTAL(9,M275)</f>
        <v>4460</v>
      </c>
    </row>
    <row r="277" spans="1:19" x14ac:dyDescent="0.25">
      <c r="A277" t="s">
        <v>385</v>
      </c>
      <c r="B277" t="s">
        <v>386</v>
      </c>
      <c r="C277" s="1">
        <v>46027</v>
      </c>
      <c r="D277" t="s">
        <v>192</v>
      </c>
      <c r="E277" t="s">
        <v>91</v>
      </c>
      <c r="F277" t="s">
        <v>92</v>
      </c>
      <c r="G277" t="s">
        <v>93</v>
      </c>
      <c r="H277" t="s">
        <v>387</v>
      </c>
      <c r="I277" t="s">
        <v>349</v>
      </c>
      <c r="J277" t="s">
        <v>350</v>
      </c>
      <c r="K277" t="s">
        <v>28</v>
      </c>
      <c r="L277" t="s">
        <v>29</v>
      </c>
      <c r="M277">
        <v>3680</v>
      </c>
      <c r="N277">
        <v>17260</v>
      </c>
      <c r="O277">
        <v>13580</v>
      </c>
      <c r="P277">
        <v>0</v>
      </c>
      <c r="Q277" t="s">
        <v>48</v>
      </c>
      <c r="R277" t="s">
        <v>49</v>
      </c>
      <c r="S277">
        <v>0</v>
      </c>
    </row>
    <row r="278" spans="1:19" x14ac:dyDescent="0.25">
      <c r="A278" t="s">
        <v>690</v>
      </c>
      <c r="B278" t="s">
        <v>691</v>
      </c>
      <c r="C278" s="1">
        <v>46030</v>
      </c>
      <c r="D278" t="s">
        <v>192</v>
      </c>
      <c r="E278" t="s">
        <v>91</v>
      </c>
      <c r="F278" t="s">
        <v>92</v>
      </c>
      <c r="G278" t="s">
        <v>93</v>
      </c>
      <c r="H278" t="s">
        <v>387</v>
      </c>
      <c r="I278" t="s">
        <v>349</v>
      </c>
      <c r="J278" t="s">
        <v>350</v>
      </c>
      <c r="K278" t="s">
        <v>28</v>
      </c>
      <c r="L278" t="s">
        <v>29</v>
      </c>
      <c r="M278">
        <v>3460</v>
      </c>
      <c r="N278">
        <v>17060</v>
      </c>
      <c r="O278">
        <v>13600</v>
      </c>
      <c r="P278">
        <v>0</v>
      </c>
      <c r="Q278" t="s">
        <v>48</v>
      </c>
      <c r="R278" t="s">
        <v>49</v>
      </c>
      <c r="S278">
        <v>0</v>
      </c>
    </row>
    <row r="279" spans="1:19" x14ac:dyDescent="0.25">
      <c r="C279" s="1"/>
      <c r="M279" s="2">
        <f>SUBTOTAL(9,M277:M278)</f>
        <v>7140</v>
      </c>
    </row>
    <row r="280" spans="1:19" x14ac:dyDescent="0.25">
      <c r="A280" t="s">
        <v>347</v>
      </c>
      <c r="C280" s="1">
        <v>46026</v>
      </c>
      <c r="D280" t="s">
        <v>192</v>
      </c>
      <c r="E280" t="s">
        <v>91</v>
      </c>
      <c r="F280" t="s">
        <v>92</v>
      </c>
      <c r="G280" t="s">
        <v>93</v>
      </c>
      <c r="H280" t="s">
        <v>348</v>
      </c>
      <c r="I280" t="s">
        <v>349</v>
      </c>
      <c r="J280" t="s">
        <v>350</v>
      </c>
      <c r="K280" t="s">
        <v>196</v>
      </c>
      <c r="L280" t="s">
        <v>197</v>
      </c>
      <c r="M280">
        <v>905</v>
      </c>
      <c r="N280">
        <v>16065</v>
      </c>
      <c r="O280">
        <v>15160</v>
      </c>
      <c r="P280">
        <v>0</v>
      </c>
      <c r="S280">
        <v>135</v>
      </c>
    </row>
    <row r="281" spans="1:19" hidden="1" x14ac:dyDescent="0.25">
      <c r="A281" t="s">
        <v>910</v>
      </c>
      <c r="C281" s="1">
        <v>46032</v>
      </c>
      <c r="D281" t="s">
        <v>45</v>
      </c>
      <c r="E281" t="s">
        <v>23</v>
      </c>
      <c r="F281" t="s">
        <v>24</v>
      </c>
      <c r="G281" t="s">
        <v>25</v>
      </c>
      <c r="I281" t="s">
        <v>327</v>
      </c>
      <c r="J281" t="s">
        <v>328</v>
      </c>
      <c r="K281" t="s">
        <v>215</v>
      </c>
      <c r="L281" t="s">
        <v>216</v>
      </c>
      <c r="M281">
        <v>1720</v>
      </c>
      <c r="N281">
        <v>17120</v>
      </c>
      <c r="O281">
        <v>15400</v>
      </c>
      <c r="P281">
        <v>0</v>
      </c>
      <c r="S281">
        <v>0</v>
      </c>
    </row>
    <row r="282" spans="1:19" hidden="1" x14ac:dyDescent="0.25">
      <c r="A282" t="s">
        <v>911</v>
      </c>
      <c r="C282" s="1">
        <v>46032</v>
      </c>
      <c r="D282" t="s">
        <v>912</v>
      </c>
      <c r="E282" t="s">
        <v>211</v>
      </c>
      <c r="F282" t="s">
        <v>212</v>
      </c>
      <c r="G282" t="s">
        <v>213</v>
      </c>
      <c r="H282" t="s">
        <v>214</v>
      </c>
      <c r="I282" t="s">
        <v>62</v>
      </c>
      <c r="J282" t="s">
        <v>137</v>
      </c>
      <c r="K282" t="s">
        <v>215</v>
      </c>
      <c r="L282" t="s">
        <v>216</v>
      </c>
      <c r="M282">
        <v>2040</v>
      </c>
      <c r="N282">
        <v>16460</v>
      </c>
      <c r="O282">
        <v>14420</v>
      </c>
      <c r="P282">
        <v>0</v>
      </c>
      <c r="S282">
        <v>0</v>
      </c>
    </row>
    <row r="283" spans="1:19" x14ac:dyDescent="0.25">
      <c r="C283" s="1"/>
      <c r="M283" s="2">
        <f>SUBTOTAL(9,M280:M282)</f>
        <v>905</v>
      </c>
    </row>
    <row r="284" spans="1:19" x14ac:dyDescent="0.25">
      <c r="A284" t="s">
        <v>747</v>
      </c>
      <c r="C284" s="1">
        <v>46030</v>
      </c>
      <c r="D284" t="s">
        <v>192</v>
      </c>
      <c r="E284" t="s">
        <v>91</v>
      </c>
      <c r="F284" t="s">
        <v>92</v>
      </c>
      <c r="G284" t="s">
        <v>93</v>
      </c>
      <c r="H284" t="s">
        <v>748</v>
      </c>
      <c r="I284" t="s">
        <v>349</v>
      </c>
      <c r="J284" t="s">
        <v>350</v>
      </c>
      <c r="K284" t="s">
        <v>342</v>
      </c>
      <c r="L284" t="s">
        <v>343</v>
      </c>
      <c r="M284">
        <v>2680</v>
      </c>
      <c r="N284">
        <v>16480</v>
      </c>
      <c r="O284">
        <v>13800</v>
      </c>
      <c r="P284">
        <v>0</v>
      </c>
      <c r="S284">
        <v>0</v>
      </c>
    </row>
    <row r="285" spans="1:19" hidden="1" x14ac:dyDescent="0.25">
      <c r="A285" t="s">
        <v>914</v>
      </c>
      <c r="C285" s="1">
        <v>46032</v>
      </c>
      <c r="D285" t="s">
        <v>715</v>
      </c>
      <c r="E285" t="s">
        <v>238</v>
      </c>
      <c r="F285" t="s">
        <v>695</v>
      </c>
      <c r="G285" t="s">
        <v>696</v>
      </c>
      <c r="H285" t="s">
        <v>915</v>
      </c>
      <c r="I285" t="s">
        <v>916</v>
      </c>
      <c r="J285" t="s">
        <v>917</v>
      </c>
      <c r="K285" t="s">
        <v>215</v>
      </c>
      <c r="L285" t="s">
        <v>216</v>
      </c>
      <c r="M285">
        <v>7180</v>
      </c>
      <c r="N285">
        <v>23580</v>
      </c>
      <c r="O285">
        <v>16400</v>
      </c>
      <c r="P285">
        <v>0</v>
      </c>
      <c r="S285">
        <v>0</v>
      </c>
    </row>
    <row r="286" spans="1:19" hidden="1" x14ac:dyDescent="0.25">
      <c r="A286" t="s">
        <v>918</v>
      </c>
      <c r="C286" s="1">
        <v>46032</v>
      </c>
      <c r="D286" t="s">
        <v>919</v>
      </c>
      <c r="E286" t="s">
        <v>238</v>
      </c>
      <c r="F286" t="s">
        <v>695</v>
      </c>
      <c r="G286" t="s">
        <v>696</v>
      </c>
      <c r="H286" t="s">
        <v>920</v>
      </c>
      <c r="I286" t="s">
        <v>921</v>
      </c>
      <c r="J286" t="s">
        <v>922</v>
      </c>
      <c r="K286" t="s">
        <v>215</v>
      </c>
      <c r="L286" t="s">
        <v>216</v>
      </c>
      <c r="M286">
        <v>6540</v>
      </c>
      <c r="N286">
        <v>22880</v>
      </c>
      <c r="O286">
        <v>16340</v>
      </c>
      <c r="P286">
        <v>0</v>
      </c>
      <c r="S286">
        <v>0</v>
      </c>
    </row>
    <row r="287" spans="1:19" hidden="1" x14ac:dyDescent="0.25">
      <c r="A287" t="s">
        <v>923</v>
      </c>
      <c r="C287" s="1">
        <v>46032</v>
      </c>
      <c r="D287" t="s">
        <v>924</v>
      </c>
      <c r="E287" t="s">
        <v>238</v>
      </c>
      <c r="F287" t="s">
        <v>695</v>
      </c>
      <c r="G287" t="s">
        <v>696</v>
      </c>
      <c r="H287" t="s">
        <v>915</v>
      </c>
      <c r="I287" t="s">
        <v>916</v>
      </c>
      <c r="J287" t="s">
        <v>917</v>
      </c>
      <c r="K287" t="s">
        <v>215</v>
      </c>
      <c r="L287" t="s">
        <v>216</v>
      </c>
      <c r="M287">
        <v>6500</v>
      </c>
      <c r="N287">
        <v>22740</v>
      </c>
      <c r="O287">
        <v>16240</v>
      </c>
      <c r="P287">
        <v>0</v>
      </c>
      <c r="S287">
        <v>0</v>
      </c>
    </row>
    <row r="288" spans="1:19" hidden="1" x14ac:dyDescent="0.25">
      <c r="A288" t="s">
        <v>925</v>
      </c>
      <c r="C288" s="1">
        <v>46032</v>
      </c>
      <c r="D288" t="s">
        <v>926</v>
      </c>
      <c r="E288" t="s">
        <v>238</v>
      </c>
      <c r="F288" t="s">
        <v>695</v>
      </c>
      <c r="G288" t="s">
        <v>696</v>
      </c>
      <c r="H288" t="s">
        <v>920</v>
      </c>
      <c r="I288" t="s">
        <v>921</v>
      </c>
      <c r="J288" t="s">
        <v>922</v>
      </c>
      <c r="K288" t="s">
        <v>215</v>
      </c>
      <c r="L288" t="s">
        <v>216</v>
      </c>
      <c r="M288">
        <v>4040</v>
      </c>
      <c r="N288">
        <v>20380</v>
      </c>
      <c r="O288">
        <v>16340</v>
      </c>
      <c r="P288">
        <v>0</v>
      </c>
      <c r="S288">
        <v>0</v>
      </c>
    </row>
    <row r="289" spans="1:19" hidden="1" x14ac:dyDescent="0.25">
      <c r="A289" t="s">
        <v>927</v>
      </c>
      <c r="C289" s="1">
        <v>46032</v>
      </c>
      <c r="D289" t="s">
        <v>926</v>
      </c>
      <c r="E289" t="s">
        <v>238</v>
      </c>
      <c r="F289" t="s">
        <v>695</v>
      </c>
      <c r="G289" t="s">
        <v>696</v>
      </c>
      <c r="H289" t="s">
        <v>920</v>
      </c>
      <c r="I289" t="s">
        <v>921</v>
      </c>
      <c r="J289" t="s">
        <v>922</v>
      </c>
      <c r="K289" t="s">
        <v>215</v>
      </c>
      <c r="L289" t="s">
        <v>216</v>
      </c>
      <c r="M289">
        <v>5140</v>
      </c>
      <c r="N289">
        <v>21420</v>
      </c>
      <c r="O289">
        <v>16280</v>
      </c>
      <c r="P289">
        <v>0</v>
      </c>
      <c r="S289">
        <v>0</v>
      </c>
    </row>
    <row r="290" spans="1:19" x14ac:dyDescent="0.25">
      <c r="C290" s="1"/>
      <c r="M290" s="2">
        <f>SUBTOTAL(9,M284:M289)</f>
        <v>2680</v>
      </c>
    </row>
    <row r="291" spans="1:19" x14ac:dyDescent="0.25">
      <c r="A291" t="s">
        <v>402</v>
      </c>
      <c r="B291" t="s">
        <v>403</v>
      </c>
      <c r="C291" s="1">
        <v>46027</v>
      </c>
      <c r="D291" t="s">
        <v>192</v>
      </c>
      <c r="E291" t="s">
        <v>91</v>
      </c>
      <c r="F291" t="s">
        <v>92</v>
      </c>
      <c r="G291" t="s">
        <v>93</v>
      </c>
      <c r="H291" t="s">
        <v>404</v>
      </c>
      <c r="I291" t="s">
        <v>349</v>
      </c>
      <c r="J291" t="s">
        <v>350</v>
      </c>
      <c r="K291" t="s">
        <v>200</v>
      </c>
      <c r="L291" t="s">
        <v>201</v>
      </c>
      <c r="M291">
        <v>2920</v>
      </c>
      <c r="N291">
        <v>16560</v>
      </c>
      <c r="O291">
        <v>13640</v>
      </c>
      <c r="P291">
        <v>0</v>
      </c>
      <c r="Q291" t="s">
        <v>99</v>
      </c>
      <c r="R291" t="s">
        <v>100</v>
      </c>
      <c r="S291">
        <v>0</v>
      </c>
    </row>
    <row r="292" spans="1:19" x14ac:dyDescent="0.25">
      <c r="A292" t="s">
        <v>419</v>
      </c>
      <c r="B292" t="s">
        <v>420</v>
      </c>
      <c r="C292" s="1">
        <v>46027</v>
      </c>
      <c r="D292" t="s">
        <v>192</v>
      </c>
      <c r="E292" t="s">
        <v>91</v>
      </c>
      <c r="F292" t="s">
        <v>92</v>
      </c>
      <c r="G292" t="s">
        <v>93</v>
      </c>
      <c r="H292" t="s">
        <v>404</v>
      </c>
      <c r="I292" t="s">
        <v>349</v>
      </c>
      <c r="J292" t="s">
        <v>350</v>
      </c>
      <c r="K292" t="s">
        <v>200</v>
      </c>
      <c r="L292" t="s">
        <v>201</v>
      </c>
      <c r="M292">
        <v>3920</v>
      </c>
      <c r="N292">
        <v>18000</v>
      </c>
      <c r="O292">
        <v>14080</v>
      </c>
      <c r="P292">
        <v>0</v>
      </c>
      <c r="Q292" t="s">
        <v>99</v>
      </c>
      <c r="R292" t="s">
        <v>100</v>
      </c>
      <c r="S292">
        <v>0</v>
      </c>
    </row>
    <row r="293" spans="1:19" x14ac:dyDescent="0.25">
      <c r="M293" s="2">
        <f>SUBTOTAL(9,M291:M292)</f>
        <v>6840</v>
      </c>
    </row>
  </sheetData>
  <autoFilter ref="A1:Y292" xr:uid="{69602983-DEB5-4039-BA42-95557F5ACCF1}">
    <filterColumn colId="4">
      <filters>
        <filter val="GPSEOAUB"/>
      </filters>
    </filterColumn>
  </autoFilter>
  <sortState xmlns:xlrd2="http://schemas.microsoft.com/office/spreadsheetml/2017/richdata2" ref="A15:S292">
    <sortCondition ref="I2:I292"/>
    <sortCondition ref="K2:K292"/>
  </sortState>
  <pageMargins left="0.7" right="0.7" top="0.75" bottom="0.75" header="0.3" footer="0.3"/>
  <headerFooter>
    <oddFooter>&amp;L_x000D_&amp;1#&amp;"Aptos"&amp;10&amp;K000000 General</oddFooter>
  </headerFooter>
</worksheet>
</file>

<file path=docMetadata/LabelInfo.xml><?xml version="1.0" encoding="utf-8"?>
<clbl:labelList xmlns:clbl="http://schemas.microsoft.com/office/2020/mipLabelMetadata">
  <clbl:label id="{f4a12867-922d-4b9d-bb85-9ee7898512a0}" enabled="0" method="" siteId="{f4a12867-922d-4b9d-bb85-9ee789851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yolive-K047-export_bp-01012026-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Olive, Yvonne</dc:creator>
  <cp:lastModifiedBy>Olive, Yvonne</cp:lastModifiedBy>
  <dcterms:created xsi:type="dcterms:W3CDTF">2026-01-12T07:30:30Z</dcterms:created>
  <dcterms:modified xsi:type="dcterms:W3CDTF">2026-01-12T07:34:05Z</dcterms:modified>
</cp:coreProperties>
</file>