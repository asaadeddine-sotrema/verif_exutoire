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11 NOVEMBRE\Envoyés à SITA\"/>
    </mc:Choice>
  </mc:AlternateContent>
  <xr:revisionPtr revIDLastSave="0" documentId="13_ncr:1_{AFCB7375-2384-4C48-A9E3-FACBFC553FFF}" xr6:coauthVersionLast="36" xr6:coauthVersionMax="36" xr10:uidLastSave="{00000000-0000-0000-0000-000000000000}"/>
  <bookViews>
    <workbookView xWindow="0" yWindow="0" windowWidth="28800" windowHeight="11625" firstSheet="7" activeTab="10" xr2:uid="{00000000-000D-0000-FFFF-FFFF00000000}"/>
  </bookViews>
  <sheets>
    <sheet name="DECHETTERIES___SECTEUR_EST___Tr" sheetId="1" r:id="rId1"/>
    <sheet name="DECHETTERIES___SECTEUR_EST_##2" sheetId="2" r:id="rId2"/>
    <sheet name="DECHETTERIES___SECTEUR_EST_##3" sheetId="3" r:id="rId3"/>
    <sheet name="DECHETTERIES___SECTEUR_EST_##4" sheetId="4" r:id="rId4"/>
    <sheet name="DECHETTERIES___SECTEUR_EST_##5" sheetId="5" r:id="rId5"/>
    <sheet name="DECHETTERIES___SECTEUR_EST_##7" sheetId="7" r:id="rId6"/>
    <sheet name="DECHETTERIES___SECTEUR_EST_##6" sheetId="6" r:id="rId7"/>
    <sheet name="DECHETTERIES___SECTEUR_EST_##8" sheetId="8" r:id="rId8"/>
    <sheet name="DECHETTERIES___SECTEUR_EST_##9" sheetId="9" r:id="rId9"/>
    <sheet name="DECHETTERIES___SECTEUR_EST_##10" sheetId="10" r:id="rId10"/>
    <sheet name="DECHETTERIES___SECTEUR_EST_##11" sheetId="11" r:id="rId11"/>
    <sheet name="DECHETTERIES___SECTEUR_EST_##12" sheetId="12" r:id="rId12"/>
    <sheet name="DECHETTERIES___SECTEUR_EST_##13" sheetId="13" r:id="rId13"/>
    <sheet name="DECHETTERIES___SECTEUR_OUEST___" sheetId="14" r:id="rId14"/>
    <sheet name="DECHETTERIES___SECTEUR_OUES##2" sheetId="15" r:id="rId15"/>
    <sheet name="DECHETTERIES___SECTEUR_OUES##3" sheetId="16" r:id="rId16"/>
    <sheet name="DECHETTERIES___SECTEUR_OUES##4" sheetId="17" r:id="rId17"/>
    <sheet name="DECHETTERIES___SECTEUR_OUES##5" sheetId="18" r:id="rId18"/>
    <sheet name="DECHETTERIES___SECTEUR_OUES##7" sheetId="20" r:id="rId19"/>
    <sheet name="DECHETTERIES___SECTEUR_OUES##6" sheetId="19" r:id="rId20"/>
    <sheet name="DECHETTERIES___SECTEUR_OUES##8" sheetId="21" r:id="rId21"/>
    <sheet name="DECHETTERIES___SECTEUR_OUES##9" sheetId="22" r:id="rId22"/>
    <sheet name="DECHETTERIES___SECTEUR_OUES##10" sheetId="23" r:id="rId23"/>
    <sheet name="DECHETTERIES___SECTEUR_OUES##11" sheetId="24" r:id="rId24"/>
    <sheet name="DECHETTERIES___SECTEUR_OUES##12" sheetId="25" r:id="rId25"/>
    <sheet name="DECHETTERIES___SECTEUR_OUES##13" sheetId="26" r:id="rId26"/>
    <sheet name="DECHETTERIES___SECTEUR_OUES##14" sheetId="27" r:id="rId27"/>
  </sheets>
  <calcPr calcId="191029"/>
</workbook>
</file>

<file path=xl/calcChain.xml><?xml version="1.0" encoding="utf-8"?>
<calcChain xmlns="http://schemas.openxmlformats.org/spreadsheetml/2006/main">
  <c r="M83" i="24" l="1"/>
  <c r="O36" i="2"/>
  <c r="N36" i="2"/>
  <c r="M36" i="2"/>
  <c r="O23" i="2"/>
  <c r="N23" i="2"/>
  <c r="M23" i="2"/>
  <c r="O45" i="1"/>
  <c r="O44" i="1"/>
  <c r="N44" i="1"/>
  <c r="O43" i="1"/>
  <c r="N43" i="1"/>
  <c r="M43" i="1"/>
</calcChain>
</file>

<file path=xl/sharedStrings.xml><?xml version="1.0" encoding="utf-8"?>
<sst xmlns="http://schemas.openxmlformats.org/spreadsheetml/2006/main" count="9240" uniqueCount="1037">
  <si>
    <t>Date vidage 01/11/2025 - 30/11/2025</t>
  </si>
  <si>
    <t/>
  </si>
  <si>
    <t>DECHETTERIES - SECTEUR EST / Transport Bois</t>
  </si>
  <si>
    <t>Benne 30 mcube / DECHETTERIE ACHERES</t>
  </si>
  <si>
    <t>Nom</t>
  </si>
  <si>
    <t>NChantier</t>
  </si>
  <si>
    <t>DATE</t>
  </si>
  <si>
    <t>isFerie</t>
  </si>
  <si>
    <t>JOUR</t>
  </si>
  <si>
    <t>NATURE</t>
  </si>
  <si>
    <t>Exutoire</t>
  </si>
  <si>
    <t>TypeContenant</t>
  </si>
  <si>
    <t>Num TP Manuel</t>
  </si>
  <si>
    <t>N°BON DE VIDAGE</t>
  </si>
  <si>
    <t>CHAUFFEUR</t>
  </si>
  <si>
    <t>CAMION</t>
  </si>
  <si>
    <t>NB DE ROTATIONS</t>
  </si>
  <si>
    <t>TONNAGES</t>
  </si>
  <si>
    <t>MontantHTLigne</t>
  </si>
  <si>
    <t>DECHETTERIES - SECTEUR EST</t>
  </si>
  <si>
    <t>DECHETTERIE ACHERES</t>
  </si>
  <si>
    <t>0</t>
  </si>
  <si>
    <t>samedi</t>
  </si>
  <si>
    <t>Transport Bois</t>
  </si>
  <si>
    <t>TERSEN Achères (Compte INOE)/Déchetteries CU</t>
  </si>
  <si>
    <t>Benne 30 mcube</t>
  </si>
  <si>
    <t>ST</t>
  </si>
  <si>
    <t>BM7411250007</t>
  </si>
  <si>
    <t>BOUZIANE</t>
  </si>
  <si>
    <t>GZ-534-BG</t>
  </si>
  <si>
    <t>jeudi</t>
  </si>
  <si>
    <t>LC25114034C</t>
  </si>
  <si>
    <t>11253833</t>
  </si>
  <si>
    <t>SAHBE</t>
  </si>
  <si>
    <t>FN-440-JS</t>
  </si>
  <si>
    <t>mercredi</t>
  </si>
  <si>
    <t>LC25116674C</t>
  </si>
  <si>
    <t>11254807</t>
  </si>
  <si>
    <t>lundi</t>
  </si>
  <si>
    <t>LC25118187C</t>
  </si>
  <si>
    <t>BM7411250042</t>
  </si>
  <si>
    <t>Total Benne 30 mcube / DECHETTERIE ACHERES</t>
  </si>
  <si>
    <t>Benne 30 mcube / DECHETTERIE CONFLANS</t>
  </si>
  <si>
    <t>DECHETTERIE CONFLANS</t>
  </si>
  <si>
    <t>vendredi</t>
  </si>
  <si>
    <t>LC25112563C</t>
  </si>
  <si>
    <t>11252800</t>
  </si>
  <si>
    <t>EZ-978-DY</t>
  </si>
  <si>
    <t>11254405</t>
  </si>
  <si>
    <t>LC25117801C</t>
  </si>
  <si>
    <t>11255079</t>
  </si>
  <si>
    <t>HENAULT</t>
  </si>
  <si>
    <t>GZ-221-GM</t>
  </si>
  <si>
    <t>LC25119593C</t>
  </si>
  <si>
    <t>11255524</t>
  </si>
  <si>
    <t>Total Benne 30 mcube / DECHETTERIE CONFLANS</t>
  </si>
  <si>
    <t>Benne 30 mcube / DECHETTERIE LES MUREAUX</t>
  </si>
  <si>
    <t>DECHETTERIE LES MUREAUX</t>
  </si>
  <si>
    <t>mardi</t>
  </si>
  <si>
    <t>TERSEN Triel (Compte INOE)/Déchetteries CU</t>
  </si>
  <si>
    <t>LC25110732C</t>
  </si>
  <si>
    <t>11251800</t>
  </si>
  <si>
    <t>AOUATE</t>
  </si>
  <si>
    <t>FG-254-YJ</t>
  </si>
  <si>
    <t>11252776</t>
  </si>
  <si>
    <t>DR-572-JW</t>
  </si>
  <si>
    <t>11254184</t>
  </si>
  <si>
    <t>CAUVIN</t>
  </si>
  <si>
    <t>GX-651-JT</t>
  </si>
  <si>
    <t>LC25115665C</t>
  </si>
  <si>
    <t>11254331</t>
  </si>
  <si>
    <t>SIMEON</t>
  </si>
  <si>
    <t>Total Benne 30 mcube / DECHETTERIE LES MUREAUX</t>
  </si>
  <si>
    <t>Benne 30 mcube / DECHETTERIE ORGEVAL</t>
  </si>
  <si>
    <t>DECHETTERIE ORGEVAL</t>
  </si>
  <si>
    <t>11253116</t>
  </si>
  <si>
    <t>LC25117393C</t>
  </si>
  <si>
    <t>11254939</t>
  </si>
  <si>
    <t>Total Benne 30 mcube / DECHETTERIE ORGEVAL</t>
  </si>
  <si>
    <t>Total Transport Bois</t>
  </si>
  <si>
    <t>Total DECHETTERIES - SECTEUR EST / Transport Bois</t>
  </si>
  <si>
    <t>DECHETTERIES - SECTEUR EST / Transport Bois Dimanche &amp; Jours Fériés</t>
  </si>
  <si>
    <t>Férié</t>
  </si>
  <si>
    <t>Transport Bois Dimanche &amp; Jours Fériés</t>
  </si>
  <si>
    <t>11251418</t>
  </si>
  <si>
    <t>dimanche</t>
  </si>
  <si>
    <t>BM7411250002</t>
  </si>
  <si>
    <t>BM7411250012</t>
  </si>
  <si>
    <t>BM7411250017</t>
  </si>
  <si>
    <t>11256059</t>
  </si>
  <si>
    <t>11253290</t>
  </si>
  <si>
    <t>BOULOUKT</t>
  </si>
  <si>
    <t>EZ 038 NH</t>
  </si>
  <si>
    <t>11251416</t>
  </si>
  <si>
    <t>Total Transport Bois Dimanche &amp; Jours Fériés</t>
  </si>
  <si>
    <t>Total DECHETTERIES - SECTEUR EST / Transport Bois Dimanche &amp; Jours Fériés</t>
  </si>
  <si>
    <t>DECHETTERIES - SECTEUR EST / Transport Cartons</t>
  </si>
  <si>
    <t>Transport Cartons</t>
  </si>
  <si>
    <t>SITA LIMAY</t>
  </si>
  <si>
    <t>TM6775</t>
  </si>
  <si>
    <t>11251614</t>
  </si>
  <si>
    <t>TM6814</t>
  </si>
  <si>
    <t>11252777</t>
  </si>
  <si>
    <t>PRC587534</t>
  </si>
  <si>
    <t>11253824</t>
  </si>
  <si>
    <t>BESLARD</t>
  </si>
  <si>
    <t>HF-382-HK</t>
  </si>
  <si>
    <t>PRC587929</t>
  </si>
  <si>
    <t>11254655</t>
  </si>
  <si>
    <t>ES 664 YV</t>
  </si>
  <si>
    <t>Total Transport Cartons</t>
  </si>
  <si>
    <t>Benne Toit Coulissant 30 mcube / DECHETTERIE ACHERES</t>
  </si>
  <si>
    <t>Benne Toit Coulissant 30 mcube</t>
  </si>
  <si>
    <t>PRC587673</t>
  </si>
  <si>
    <t>11254173</t>
  </si>
  <si>
    <t>TRAORE</t>
  </si>
  <si>
    <t>Total Benne Toit Coulissant 30 mcube / DECHETTERIE ACHERES</t>
  </si>
  <si>
    <t>Compacteur Monobloc 20 mcube / DECHETTERIE ORGEVAL</t>
  </si>
  <si>
    <t>Compacteur Monobloc 20 mcube</t>
  </si>
  <si>
    <t>PRC587315</t>
  </si>
  <si>
    <t>11253119</t>
  </si>
  <si>
    <t>Total Compacteur Monobloc 20 mcube / DECHETTERIE ORGEVAL</t>
  </si>
  <si>
    <t>Compacteur Monobloc 24 mcube / DECHETTERIE CONFLANS</t>
  </si>
  <si>
    <t>Compacteur Monobloc 24 mcube</t>
  </si>
  <si>
    <t>PRC587411</t>
  </si>
  <si>
    <t>BM7411250022</t>
  </si>
  <si>
    <t>PRC588686</t>
  </si>
  <si>
    <t>11255526</t>
  </si>
  <si>
    <t>Total Compacteur Monobloc 24 mcube / DECHETTERIE CONFLANS</t>
  </si>
  <si>
    <t>Total DECHETTERIES - SECTEUR EST / Transport Cartons</t>
  </si>
  <si>
    <t>DECHETTERIES - SECTEUR EST / Transport CARTONS Dimanche &amp; Jours Fériés</t>
  </si>
  <si>
    <t>Transport CARTONS Dimanche &amp; Jours Fériés</t>
  </si>
  <si>
    <t>TM6749</t>
  </si>
  <si>
    <t>11251419</t>
  </si>
  <si>
    <t>Total Transport CARTONS Dimanche &amp; Jours Fériés</t>
  </si>
  <si>
    <t>TM6754</t>
  </si>
  <si>
    <t>11251415</t>
  </si>
  <si>
    <t>TM6751</t>
  </si>
  <si>
    <t>11251413</t>
  </si>
  <si>
    <t>Total DECHETTERIES - SECTEUR EST / Transport CARTONS Dimanche &amp; Jours Fériés</t>
  </si>
  <si>
    <t>DECHETTERIES - SECTEUR EST / Transport Déchets Industriels Banals</t>
  </si>
  <si>
    <t>Transport Déchets Industriels Banals</t>
  </si>
  <si>
    <t>PRC586732</t>
  </si>
  <si>
    <t>11251613</t>
  </si>
  <si>
    <t>TM6894</t>
  </si>
  <si>
    <t>11254171</t>
  </si>
  <si>
    <t>PRC588063</t>
  </si>
  <si>
    <t>11254805</t>
  </si>
  <si>
    <t>TM6982</t>
  </si>
  <si>
    <t>11255264</t>
  </si>
  <si>
    <t>PRC588707</t>
  </si>
  <si>
    <t>11255573</t>
  </si>
  <si>
    <t>TM7056</t>
  </si>
  <si>
    <t>BM7411250046</t>
  </si>
  <si>
    <t>TM6912</t>
  </si>
  <si>
    <t>11254176</t>
  </si>
  <si>
    <t>PRC588692</t>
  </si>
  <si>
    <t>10252090</t>
  </si>
  <si>
    <t>PRC586917</t>
  </si>
  <si>
    <t>11251799</t>
  </si>
  <si>
    <t>PRC586972</t>
  </si>
  <si>
    <t>11252150</t>
  </si>
  <si>
    <t>PRC586993</t>
  </si>
  <si>
    <t>11252151</t>
  </si>
  <si>
    <t>PRC587207</t>
  </si>
  <si>
    <t>11252779</t>
  </si>
  <si>
    <t>TM6815</t>
  </si>
  <si>
    <t>11252780</t>
  </si>
  <si>
    <t>PRC587413</t>
  </si>
  <si>
    <t>11254904</t>
  </si>
  <si>
    <t>PRC587554</t>
  </si>
  <si>
    <t>11253823</t>
  </si>
  <si>
    <t>PRC587742</t>
  </si>
  <si>
    <t>11254183</t>
  </si>
  <si>
    <t>TM6915</t>
  </si>
  <si>
    <t>11254385</t>
  </si>
  <si>
    <t>PRC587946</t>
  </si>
  <si>
    <t>11254651</t>
  </si>
  <si>
    <t>PRC587989</t>
  </si>
  <si>
    <t>11254652</t>
  </si>
  <si>
    <t>PRC588205</t>
  </si>
  <si>
    <t>11254876</t>
  </si>
  <si>
    <t>PRC588558</t>
  </si>
  <si>
    <t>11254877</t>
  </si>
  <si>
    <t>TM6980</t>
  </si>
  <si>
    <t>11255230</t>
  </si>
  <si>
    <t>11255232</t>
  </si>
  <si>
    <t>-BERTACCINI</t>
  </si>
  <si>
    <t>PRC588639</t>
  </si>
  <si>
    <t>11255701</t>
  </si>
  <si>
    <t>BONNET</t>
  </si>
  <si>
    <t>Total Transport Déchets Industriels Banals</t>
  </si>
  <si>
    <t>Compacteur Monobloc 20 mcube / DECHETTERIE CONFLANS</t>
  </si>
  <si>
    <t>PRC587197</t>
  </si>
  <si>
    <t>11252798</t>
  </si>
  <si>
    <t>PRC587418</t>
  </si>
  <si>
    <t>BM7411250023</t>
  </si>
  <si>
    <t>TM6910</t>
  </si>
  <si>
    <t>11254376</t>
  </si>
  <si>
    <t>PRC588336</t>
  </si>
  <si>
    <t>11255078</t>
  </si>
  <si>
    <t>DA COSTA LUIS</t>
  </si>
  <si>
    <t>GT-224-NF</t>
  </si>
  <si>
    <t>TM6979</t>
  </si>
  <si>
    <t>BM7411250032</t>
  </si>
  <si>
    <t>Total Compacteur Monobloc 20 mcube / DECHETTERIE CONFLANS</t>
  </si>
  <si>
    <t>PRC586726</t>
  </si>
  <si>
    <t>11251582</t>
  </si>
  <si>
    <t>PRC587300</t>
  </si>
  <si>
    <t>11253120</t>
  </si>
  <si>
    <t>PRC587846</t>
  </si>
  <si>
    <t>BM0111250012</t>
  </si>
  <si>
    <t>PRC588430</t>
  </si>
  <si>
    <t>11255597</t>
  </si>
  <si>
    <t>PRC587834</t>
  </si>
  <si>
    <t>11255590</t>
  </si>
  <si>
    <t>PRC588572</t>
  </si>
  <si>
    <t>11255430</t>
  </si>
  <si>
    <t>Total DECHETTERIES - SECTEUR EST / Transport Déchets Industriels Banals</t>
  </si>
  <si>
    <t>DECHETTERIES - SECTEUR EST / Transport Déchets Végétaux</t>
  </si>
  <si>
    <t>Transport Déchets Végétaux</t>
  </si>
  <si>
    <t>LC25110031C</t>
  </si>
  <si>
    <t>11251612</t>
  </si>
  <si>
    <t>LC25113380C</t>
  </si>
  <si>
    <t>BM7411250021</t>
  </si>
  <si>
    <t>LC25114017C</t>
  </si>
  <si>
    <t>11253832</t>
  </si>
  <si>
    <t>LC25117243C</t>
  </si>
  <si>
    <t>11254933</t>
  </si>
  <si>
    <t>LC25118173C</t>
  </si>
  <si>
    <t>BM7411250041</t>
  </si>
  <si>
    <t>BM7411250045</t>
  </si>
  <si>
    <t>LC25110274C</t>
  </si>
  <si>
    <t>11251611</t>
  </si>
  <si>
    <t>LC25112618C</t>
  </si>
  <si>
    <t>11252799</t>
  </si>
  <si>
    <t>11253106</t>
  </si>
  <si>
    <t>11253107</t>
  </si>
  <si>
    <t>LC25114860C</t>
  </si>
  <si>
    <t>11254174</t>
  </si>
  <si>
    <t>LC25114921C</t>
  </si>
  <si>
    <t>11254175</t>
  </si>
  <si>
    <t>11254375</t>
  </si>
  <si>
    <t>11255591</t>
  </si>
  <si>
    <t>11255265</t>
  </si>
  <si>
    <t>LC251110800C</t>
  </si>
  <si>
    <t>11255828</t>
  </si>
  <si>
    <t>LC25110216C</t>
  </si>
  <si>
    <t>11251605</t>
  </si>
  <si>
    <t>11251604</t>
  </si>
  <si>
    <t>LC25112004C</t>
  </si>
  <si>
    <t>11252419</t>
  </si>
  <si>
    <t>11253783</t>
  </si>
  <si>
    <t>11253115</t>
  </si>
  <si>
    <t>11253831</t>
  </si>
  <si>
    <t>11254384</t>
  </si>
  <si>
    <t>10255023</t>
  </si>
  <si>
    <t>TM07853</t>
  </si>
  <si>
    <t>11255596</t>
  </si>
  <si>
    <t>LC25118801C</t>
  </si>
  <si>
    <t>11255453</t>
  </si>
  <si>
    <t>BM0111250017</t>
  </si>
  <si>
    <t>Total Transport Déchets Végétaux</t>
  </si>
  <si>
    <t>Total DECHETTERIES - SECTEUR EST / Transport Déchets Végétaux</t>
  </si>
  <si>
    <t>DECHETTERIES - SECTEUR EST / Transport DIB Dimanche &amp; Jours Fériés</t>
  </si>
  <si>
    <t>Transport DIB Dimanche &amp; Jours Fériés</t>
  </si>
  <si>
    <t>TM6864</t>
  </si>
  <si>
    <t>11253297</t>
  </si>
  <si>
    <t>TM7061</t>
  </si>
  <si>
    <t>11256058</t>
  </si>
  <si>
    <t>TM6869</t>
  </si>
  <si>
    <t>11253288</t>
  </si>
  <si>
    <t>TM6875</t>
  </si>
  <si>
    <t>11253287</t>
  </si>
  <si>
    <t>TM6873</t>
  </si>
  <si>
    <t>11253394</t>
  </si>
  <si>
    <t>Total Transport DIB Dimanche &amp; Jours Fériés</t>
  </si>
  <si>
    <t>TM6768</t>
  </si>
  <si>
    <t>11251466</t>
  </si>
  <si>
    <t>TM6835</t>
  </si>
  <si>
    <t>BM7411250011</t>
  </si>
  <si>
    <t>Total DECHETTERIES - SECTEUR EST / Transport DIB Dimanche &amp; Jours Fériés</t>
  </si>
  <si>
    <t>DECHETTERIES - SECTEUR EST / Transport DVE Dimanche &amp; Jours Fériés</t>
  </si>
  <si>
    <t>Transport DVE Dimanche &amp; Jours Fériés</t>
  </si>
  <si>
    <t>BM7411250031</t>
  </si>
  <si>
    <t>11251414</t>
  </si>
  <si>
    <t>BM7411250027</t>
  </si>
  <si>
    <t>BM7411250034</t>
  </si>
  <si>
    <t>10255024</t>
  </si>
  <si>
    <t>11253373</t>
  </si>
  <si>
    <t>BM7411250026</t>
  </si>
  <si>
    <t>Total Transport DVE Dimanche &amp; Jours Fériés</t>
  </si>
  <si>
    <t>Total DECHETTERIES - SECTEUR EST / Transport DVE Dimanche &amp; Jours Fériés</t>
  </si>
  <si>
    <t>DECHETTERIES - SECTEUR EST / Transport Ferrailles</t>
  </si>
  <si>
    <t>Transport Ferrailles</t>
  </si>
  <si>
    <t>PRC588462</t>
  </si>
  <si>
    <t>BM7411250044</t>
  </si>
  <si>
    <t>PRC588457</t>
  </si>
  <si>
    <t>BM7411250043</t>
  </si>
  <si>
    <t>PRC587254</t>
  </si>
  <si>
    <t>11252797</t>
  </si>
  <si>
    <t>PRC588099</t>
  </si>
  <si>
    <t>11254811</t>
  </si>
  <si>
    <t>Total Transport Ferrailles</t>
  </si>
  <si>
    <t>Total DECHETTERIES - SECTEUR EST / Transport Ferrailles</t>
  </si>
  <si>
    <t>DECHETTERIES - SECTEUR EST / Transport FERRAILLES Dimanche &amp; Jours Fériés</t>
  </si>
  <si>
    <t>Transport FERRAILLES Dimanche &amp; Jours Fériés</t>
  </si>
  <si>
    <t>TM6863</t>
  </si>
  <si>
    <t>11253295</t>
  </si>
  <si>
    <t>TM6859</t>
  </si>
  <si>
    <t>11253866</t>
  </si>
  <si>
    <t>Total Transport FERRAILLES Dimanche &amp; Jours Fériés</t>
  </si>
  <si>
    <t>Total DECHETTERIES - SECTEUR EST / Transport FERRAILLES Dimanche &amp; Jours Fériés</t>
  </si>
  <si>
    <t>DECHETTERIES - SECTEUR EST / Transport Gravats</t>
  </si>
  <si>
    <t>Benne 10 mcube / DECHETTERIE ACHERES</t>
  </si>
  <si>
    <t>Transport Gravats</t>
  </si>
  <si>
    <t>Benne 10 mcube</t>
  </si>
  <si>
    <t>LC25111625C</t>
  </si>
  <si>
    <t>11252152</t>
  </si>
  <si>
    <t>LC25113392C</t>
  </si>
  <si>
    <t>BM7411250020</t>
  </si>
  <si>
    <t>PICHETA ACHERES</t>
  </si>
  <si>
    <t>LC251110821C</t>
  </si>
  <si>
    <t>11255824</t>
  </si>
  <si>
    <t>Total DECHETTERIE ACHERES</t>
  </si>
  <si>
    <t>Benne 8 mcube / DECHETTERIE ACHERES</t>
  </si>
  <si>
    <t>Benne 8 mcube</t>
  </si>
  <si>
    <t>LC25116699C</t>
  </si>
  <si>
    <t>11254808</t>
  </si>
  <si>
    <t>Total Benne 8 mcube / DECHETTERIE ACHERES</t>
  </si>
  <si>
    <t>Benne 8 mcube / DECHETTERIE CONFLANS</t>
  </si>
  <si>
    <t>LC25110019C</t>
  </si>
  <si>
    <t>11251610</t>
  </si>
  <si>
    <t>11253105</t>
  </si>
  <si>
    <t>11254608</t>
  </si>
  <si>
    <t>LC25119562C</t>
  </si>
  <si>
    <t>11255525</t>
  </si>
  <si>
    <t>Total Benne 8 mcube / DECHETTERIE CONFLANS</t>
  </si>
  <si>
    <t>Benne 8 mcube / DECHETTERIE LES MUREAUX</t>
  </si>
  <si>
    <t>Picheta Triel (Sur Cpt Client)</t>
  </si>
  <si>
    <t>11251801</t>
  </si>
  <si>
    <t>LC25111931C</t>
  </si>
  <si>
    <t>11252404</t>
  </si>
  <si>
    <t>LC25114842C</t>
  </si>
  <si>
    <t>11254185</t>
  </si>
  <si>
    <t>LC25115521C</t>
  </si>
  <si>
    <t>09251990</t>
  </si>
  <si>
    <t>Picheta Limay (Sur Cpt Client)</t>
  </si>
  <si>
    <t>LC25116824C</t>
  </si>
  <si>
    <t>11254812</t>
  </si>
  <si>
    <t>Total Benne 8 mcube / DECHETTERIE LES MUREAUX</t>
  </si>
  <si>
    <t>Benne 8 mcube / DECHETTERIE ORGEVAL</t>
  </si>
  <si>
    <t>LC25110121C</t>
  </si>
  <si>
    <t>11251603</t>
  </si>
  <si>
    <t>BM0111250003</t>
  </si>
  <si>
    <t>11253117</t>
  </si>
  <si>
    <t>Total Benne 8 mcube / DECHETTERIE ORGEVAL</t>
  </si>
  <si>
    <t>Total Transport Gravats</t>
  </si>
  <si>
    <t>Total DECHETTERIES - SECTEUR EST / Transport Gravats</t>
  </si>
  <si>
    <t>DECHETTERIES - SECTEUR EST / Transport Gravats Dimanche &amp; Jours fériés</t>
  </si>
  <si>
    <t>Transport Gravats Dimanche &amp; Jours fériés</t>
  </si>
  <si>
    <t>11253289</t>
  </si>
  <si>
    <t>11253374</t>
  </si>
  <si>
    <t>Total Transport Gravats Dimanche &amp; Jours fériés</t>
  </si>
  <si>
    <t>Total DECHETTERIES - SECTEUR EST / Transport Gravats Dimanche &amp; Jours fériés</t>
  </si>
  <si>
    <t>DECHETTERIES - SECTEUR EST / Transport Plâtre</t>
  </si>
  <si>
    <t>Benne Toit Coulissant 15 mcube / DECHETTERIE ACHERES</t>
  </si>
  <si>
    <t>Transport Plâtre</t>
  </si>
  <si>
    <t>Benne Toit Coulissant 15 mcube</t>
  </si>
  <si>
    <t>PRC588827</t>
  </si>
  <si>
    <t>11255739</t>
  </si>
  <si>
    <t>Total Benne Toit Coulissant 15 mcube / DECHETTERIE ACHERES</t>
  </si>
  <si>
    <t>Benne Toit Coulissant 15 mcube / DECHETTERIE CONFLANS</t>
  </si>
  <si>
    <t>PRC588339</t>
  </si>
  <si>
    <t>11255077</t>
  </si>
  <si>
    <t>Total Benne Toit Coulissant 15 mcube / DECHETTERIE CONFLANS</t>
  </si>
  <si>
    <t>Benne Toit Coulissant 15 mcube / DECHETTERIE LES MUREAUX</t>
  </si>
  <si>
    <t>PRC587677</t>
  </si>
  <si>
    <t>11254186</t>
  </si>
  <si>
    <t>PRC587930</t>
  </si>
  <si>
    <t>11254643</t>
  </si>
  <si>
    <t>Total Benne Toit Coulissant 15 mcube / DECHETTERIE LES MUREAUX</t>
  </si>
  <si>
    <t>Total Transport Plâtre</t>
  </si>
  <si>
    <t>Total DECHETTERIES - SECTEUR EST / Transport Plâtre</t>
  </si>
  <si>
    <t>DECHETTERIES - SECTEUR OUEST / Transport Bois</t>
  </si>
  <si>
    <t>Benne 30 mcube / DECHETTERIE EPONE</t>
  </si>
  <si>
    <t>DECHETTERIES - SECTEUR OUEST</t>
  </si>
  <si>
    <t>DECHETTERIE EPONE</t>
  </si>
  <si>
    <t>DUPILLE SARL (CU GPSO)</t>
  </si>
  <si>
    <t>11252951</t>
  </si>
  <si>
    <t>-AZZOUZ</t>
  </si>
  <si>
    <t>125211</t>
  </si>
  <si>
    <t>11254474</t>
  </si>
  <si>
    <t>*TAYEB</t>
  </si>
  <si>
    <t>125757</t>
  </si>
  <si>
    <t>11251869</t>
  </si>
  <si>
    <t>125901</t>
  </si>
  <si>
    <t>11253318</t>
  </si>
  <si>
    <t>Total Benne 30 mcube / DECHETTERIE EPONE</t>
  </si>
  <si>
    <t>Benne 30 mcube / DECHETTERIE GARGENVILLE</t>
  </si>
  <si>
    <t>DECHETTERIE GARGENVILLE</t>
  </si>
  <si>
    <t>124502</t>
  </si>
  <si>
    <t>BM10250011</t>
  </si>
  <si>
    <t>BELGAID</t>
  </si>
  <si>
    <t>EB-031-ZC</t>
  </si>
  <si>
    <t>124926</t>
  </si>
  <si>
    <t>11254820</t>
  </si>
  <si>
    <t>125157</t>
  </si>
  <si>
    <t>11253112</t>
  </si>
  <si>
    <t>125442</t>
  </si>
  <si>
    <t>11254924</t>
  </si>
  <si>
    <t>125597</t>
  </si>
  <si>
    <t>11255623</t>
  </si>
  <si>
    <t>125831</t>
  </si>
  <si>
    <t>11255962</t>
  </si>
  <si>
    <t>Total Benne 30 mcube / DECHETTERIE GARGENVILLE</t>
  </si>
  <si>
    <t>Benne 30 mcube / DECHETTERIE LIMAY</t>
  </si>
  <si>
    <t>DECHETTERIE LIMAY</t>
  </si>
  <si>
    <t>124769</t>
  </si>
  <si>
    <t>11252948</t>
  </si>
  <si>
    <t>11253714</t>
  </si>
  <si>
    <t>125410</t>
  </si>
  <si>
    <t>11254963</t>
  </si>
  <si>
    <t>Total Benne 30 mcube / DECHETTERIE LIMAY</t>
  </si>
  <si>
    <t>Benne 30 mcube / DECHETTERIE MLJ CLOSEAUX 1</t>
  </si>
  <si>
    <t>DECHETTERIE MLJ CLOSEAUX 1</t>
  </si>
  <si>
    <t>124910</t>
  </si>
  <si>
    <t>11254819</t>
  </si>
  <si>
    <t>125174</t>
  </si>
  <si>
    <t>11255133</t>
  </si>
  <si>
    <t>125564</t>
  </si>
  <si>
    <t>11255614</t>
  </si>
  <si>
    <t>Total Benne 30 mcube / DECHETTERIE MLJ CLOSEAUX 1</t>
  </si>
  <si>
    <t>Benne 30 mcube / DECHETTERIE MLV VAUCOULEURS</t>
  </si>
  <si>
    <t>DECHETTERIE MLV VAUCOULEURS</t>
  </si>
  <si>
    <t>124479</t>
  </si>
  <si>
    <t>11251849</t>
  </si>
  <si>
    <t>11254309</t>
  </si>
  <si>
    <t>125424</t>
  </si>
  <si>
    <t>11254371</t>
  </si>
  <si>
    <t>125787</t>
  </si>
  <si>
    <t>11255742</t>
  </si>
  <si>
    <t>Total Benne 30 mcube / DECHETTERIE MLV VAUCOULEURS</t>
  </si>
  <si>
    <t>Compacteur Monobloc 24 mcube / DECHETTERIE AUBERGENVILLE</t>
  </si>
  <si>
    <t>DECHETTERIE AUBERGENVILLE</t>
  </si>
  <si>
    <t>125481</t>
  </si>
  <si>
    <t>11255081</t>
  </si>
  <si>
    <t>Total Compacteur Monobloc 24 mcube / DECHETTERIE AUBERGENVILLE</t>
  </si>
  <si>
    <t>Total DECHETTERIES - SECTEUR OUEST / Transport Bois</t>
  </si>
  <si>
    <t>DECHETTERIES - SECTEUR OUEST / Transport Bois Dimanche &amp; Jours Fériés</t>
  </si>
  <si>
    <t>11251424</t>
  </si>
  <si>
    <t>11251426</t>
  </si>
  <si>
    <t>EL GUEHOUDI</t>
  </si>
  <si>
    <t>11251457</t>
  </si>
  <si>
    <t>124886</t>
  </si>
  <si>
    <t>11253378</t>
  </si>
  <si>
    <t>11251435</t>
  </si>
  <si>
    <t>124889</t>
  </si>
  <si>
    <t>11253304</t>
  </si>
  <si>
    <t>124887</t>
  </si>
  <si>
    <t>11253393</t>
  </si>
  <si>
    <t>Total DECHETTERIES - SECTEUR OUEST / Transport Bois Dimanche &amp; Jours Fériés</t>
  </si>
  <si>
    <t>DECHETTERIES - SECTEUR OUEST / Transport Cartons</t>
  </si>
  <si>
    <t>Benne Toit Coulissant 30 mcube / DECHETTERIE GARGENVILLE</t>
  </si>
  <si>
    <t>PRC586852</t>
  </si>
  <si>
    <t>11251858</t>
  </si>
  <si>
    <t>TM6856</t>
  </si>
  <si>
    <t>11253114</t>
  </si>
  <si>
    <t>TM6971</t>
  </si>
  <si>
    <t>11254922</t>
  </si>
  <si>
    <t>TM7059</t>
  </si>
  <si>
    <t>11256028</t>
  </si>
  <si>
    <t>Total Benne Toit Coulissant 30 mcube / DECHETTERIE GARGENVILLE</t>
  </si>
  <si>
    <t>Benne Toit Coulissant 30 mcube / DECHETTERIE LIMAY</t>
  </si>
  <si>
    <t>PRC586731</t>
  </si>
  <si>
    <t>11251608</t>
  </si>
  <si>
    <t>TM6827</t>
  </si>
  <si>
    <t>11252949</t>
  </si>
  <si>
    <t>PRC587324</t>
  </si>
  <si>
    <t>11253856</t>
  </si>
  <si>
    <t>TM6919</t>
  </si>
  <si>
    <t>11254557</t>
  </si>
  <si>
    <t>PRC588064</t>
  </si>
  <si>
    <t>11254803</t>
  </si>
  <si>
    <t>TM6983</t>
  </si>
  <si>
    <t>11255267</t>
  </si>
  <si>
    <t>TM7014</t>
  </si>
  <si>
    <t>11255517</t>
  </si>
  <si>
    <t>TM7051</t>
  </si>
  <si>
    <t>11255971</t>
  </si>
  <si>
    <t>Total Benne Toit Coulissant 30 mcube / DECHETTERIE LIMAY</t>
  </si>
  <si>
    <t>Benne Toit Coulissant 30 mcube / DECHETTERIE MLJ CLOSEAUX 1</t>
  </si>
  <si>
    <t>PRC587310</t>
  </si>
  <si>
    <t>11252768</t>
  </si>
  <si>
    <t>11254178</t>
  </si>
  <si>
    <t>PRC587932</t>
  </si>
  <si>
    <t>11254611</t>
  </si>
  <si>
    <t>PRC588559</t>
  </si>
  <si>
    <t>11255440</t>
  </si>
  <si>
    <t>Total Benne Toit Coulissant 30 mcube / DECHETTERIE MLJ CLOSEAUX 1</t>
  </si>
  <si>
    <t>Benne Toit Coulissant 30 mcube / DECHETTERIE MLV VAUCOULEURS</t>
  </si>
  <si>
    <t>PRC587107</t>
  </si>
  <si>
    <t>11252410</t>
  </si>
  <si>
    <t>TM6922</t>
  </si>
  <si>
    <t>11254372</t>
  </si>
  <si>
    <t>PRC588590</t>
  </si>
  <si>
    <t>11255459</t>
  </si>
  <si>
    <t>TM7054</t>
  </si>
  <si>
    <t>11255968</t>
  </si>
  <si>
    <t>Total Benne Toit Coulissant 30 mcube / DECHETTERIE MLV VAUCOULEURS</t>
  </si>
  <si>
    <t>TM7050</t>
  </si>
  <si>
    <t>11255972</t>
  </si>
  <si>
    <t>Total DECHETTERIES - SECTEUR OUEST / Transport Cartons</t>
  </si>
  <si>
    <t>DECHETTERIES - SECTEUR OUEST / Transport CARTONS Dimanche &amp; Jours Fériés</t>
  </si>
  <si>
    <t>Benne Toit Coulissant 30 mcube / DECHETTERIE EPONE</t>
  </si>
  <si>
    <t>TM6766</t>
  </si>
  <si>
    <t>10257151</t>
  </si>
  <si>
    <t>TM6865</t>
  </si>
  <si>
    <t>11253384</t>
  </si>
  <si>
    <t>Total Benne Toit Coulissant 30 mcube / DECHETTERIE EPONE</t>
  </si>
  <si>
    <t>TM6761</t>
  </si>
  <si>
    <t>11251908</t>
  </si>
  <si>
    <t>TM6765</t>
  </si>
  <si>
    <t>11251436</t>
  </si>
  <si>
    <t>TM6867</t>
  </si>
  <si>
    <t>11253305</t>
  </si>
  <si>
    <t>Total DECHETTERIES - SECTEUR OUEST / Transport CARTONS Dimanche &amp; Jours Fériés</t>
  </si>
  <si>
    <t>DECHETTERIES - SECTEUR OUEST / Transport Déchets Industriels Banals</t>
  </si>
  <si>
    <t>TM6777</t>
  </si>
  <si>
    <t>11251585</t>
  </si>
  <si>
    <t>TM6925</t>
  </si>
  <si>
    <t>11254388</t>
  </si>
  <si>
    <t>TM6973</t>
  </si>
  <si>
    <t>11254980</t>
  </si>
  <si>
    <t>TM6989</t>
  </si>
  <si>
    <t>11255270</t>
  </si>
  <si>
    <t>TM7021</t>
  </si>
  <si>
    <t>11255588</t>
  </si>
  <si>
    <t>TM6791</t>
  </si>
  <si>
    <t>10256167</t>
  </si>
  <si>
    <t>TM6820</t>
  </si>
  <si>
    <t>BM11250003</t>
  </si>
  <si>
    <t>TM6834</t>
  </si>
  <si>
    <t>11253320</t>
  </si>
  <si>
    <t>TM6846</t>
  </si>
  <si>
    <t>11253110</t>
  </si>
  <si>
    <t>PRC587422</t>
  </si>
  <si>
    <t>11253399</t>
  </si>
  <si>
    <t>PRC587792</t>
  </si>
  <si>
    <t>11254700</t>
  </si>
  <si>
    <t>TM6928</t>
  </si>
  <si>
    <t>11254559</t>
  </si>
  <si>
    <t>TM6937</t>
  </si>
  <si>
    <t>11255141</t>
  </si>
  <si>
    <t>PRC588302</t>
  </si>
  <si>
    <t>11254931</t>
  </si>
  <si>
    <t>TM6976</t>
  </si>
  <si>
    <t>BM11250019</t>
  </si>
  <si>
    <t>PRC588556</t>
  </si>
  <si>
    <t>11255438</t>
  </si>
  <si>
    <t>PRC588687</t>
  </si>
  <si>
    <t>11255575</t>
  </si>
  <si>
    <t>TM7058</t>
  </si>
  <si>
    <t>11255974</t>
  </si>
  <si>
    <t>TM6796</t>
  </si>
  <si>
    <t>11252140</t>
  </si>
  <si>
    <t>TM6826</t>
  </si>
  <si>
    <t>11252944</t>
  </si>
  <si>
    <t>TM6908</t>
  </si>
  <si>
    <t>11254292</t>
  </si>
  <si>
    <t>PRC588224</t>
  </si>
  <si>
    <t>11254960</t>
  </si>
  <si>
    <t>TM7013</t>
  </si>
  <si>
    <t>11255518</t>
  </si>
  <si>
    <t>PRC588839</t>
  </si>
  <si>
    <t>11255746</t>
  </si>
  <si>
    <t>PRC587301</t>
  </si>
  <si>
    <t>11252767</t>
  </si>
  <si>
    <t>PRC587429</t>
  </si>
  <si>
    <t>11254818</t>
  </si>
  <si>
    <t>PRC587688</t>
  </si>
  <si>
    <t>11254177</t>
  </si>
  <si>
    <t>PRC587813</t>
  </si>
  <si>
    <t>11255132</t>
  </si>
  <si>
    <t>PRC587942</t>
  </si>
  <si>
    <t>11254612</t>
  </si>
  <si>
    <t>PRC588363</t>
  </si>
  <si>
    <t>11255089</t>
  </si>
  <si>
    <t>PRC588428</t>
  </si>
  <si>
    <t>11255610</t>
  </si>
  <si>
    <t>PRC588574</t>
  </si>
  <si>
    <t>11255441</t>
  </si>
  <si>
    <t>PRC588939</t>
  </si>
  <si>
    <t>11255827</t>
  </si>
  <si>
    <t>PRC587064</t>
  </si>
  <si>
    <t>11252138</t>
  </si>
  <si>
    <t>PRC587178</t>
  </si>
  <si>
    <t>11254289</t>
  </si>
  <si>
    <t>TM6823</t>
  </si>
  <si>
    <t>11254308</t>
  </si>
  <si>
    <t>PRC587560</t>
  </si>
  <si>
    <t>11253803</t>
  </si>
  <si>
    <t>PRC588088</t>
  </si>
  <si>
    <t>11252950</t>
  </si>
  <si>
    <t>PRC588273</t>
  </si>
  <si>
    <t>11254946</t>
  </si>
  <si>
    <t>PRC588375</t>
  </si>
  <si>
    <t>11255086</t>
  </si>
  <si>
    <t>PRC588603</t>
  </si>
  <si>
    <t>11255461</t>
  </si>
  <si>
    <t>TM7046</t>
  </si>
  <si>
    <t>11255837</t>
  </si>
  <si>
    <t>PRC586968</t>
  </si>
  <si>
    <t>11252153</t>
  </si>
  <si>
    <t>PRC587427</t>
  </si>
  <si>
    <t>BM0511250003</t>
  </si>
  <si>
    <t>PRC587949</t>
  </si>
  <si>
    <t>11254567</t>
  </si>
  <si>
    <t>PRC588341</t>
  </si>
  <si>
    <t>11255084</t>
  </si>
  <si>
    <t>TM7060</t>
  </si>
  <si>
    <t>11256027</t>
  </si>
  <si>
    <t>Total DECHETTERIE AUBERGENVILLE</t>
  </si>
  <si>
    <t>Total</t>
  </si>
  <si>
    <t>Total DECHETTERIES - SECTEUR OUEST / Transport Déchets Industriels Banals</t>
  </si>
  <si>
    <t>DECHETTERIES - SECTEUR OUEST / Transport Déchets Végétaux</t>
  </si>
  <si>
    <t>Benne 30 mcube / DECHETTERIE AUBERGENVILLE</t>
  </si>
  <si>
    <t>PRC586863</t>
  </si>
  <si>
    <t>11251820</t>
  </si>
  <si>
    <t>PRC587180</t>
  </si>
  <si>
    <t>11252730</t>
  </si>
  <si>
    <t>TM6824</t>
  </si>
  <si>
    <t>11252931</t>
  </si>
  <si>
    <t>TM6883</t>
  </si>
  <si>
    <t>11253709</t>
  </si>
  <si>
    <t>TM6891</t>
  </si>
  <si>
    <t>11254092</t>
  </si>
  <si>
    <t>TM6911</t>
  </si>
  <si>
    <t>11254390</t>
  </si>
  <si>
    <t>PRC587936</t>
  </si>
  <si>
    <t>11254568</t>
  </si>
  <si>
    <t>PRC588233</t>
  </si>
  <si>
    <t>11254959</t>
  </si>
  <si>
    <t>TM6977</t>
  </si>
  <si>
    <t>11253397</t>
  </si>
  <si>
    <t>TM7007</t>
  </si>
  <si>
    <t>11255624</t>
  </si>
  <si>
    <t>Total Benne 30 mcube / DECHETTERIE AUBERGENVILLE</t>
  </si>
  <si>
    <t>PRC586773</t>
  </si>
  <si>
    <t>11251584</t>
  </si>
  <si>
    <t>TM6829</t>
  </si>
  <si>
    <t>11252932</t>
  </si>
  <si>
    <t>PRC587327</t>
  </si>
  <si>
    <t>11253853</t>
  </si>
  <si>
    <t>PRC587388</t>
  </si>
  <si>
    <t>11253109</t>
  </si>
  <si>
    <t>TM6917</t>
  </si>
  <si>
    <t>11254387</t>
  </si>
  <si>
    <t>PRC587895</t>
  </si>
  <si>
    <t>11255142</t>
  </si>
  <si>
    <t>PRC588312</t>
  </si>
  <si>
    <t>11254981</t>
  </si>
  <si>
    <t>TM7006</t>
  </si>
  <si>
    <t>11255617</t>
  </si>
  <si>
    <t>PRC586864</t>
  </si>
  <si>
    <t>11251860</t>
  </si>
  <si>
    <t>PRC586997</t>
  </si>
  <si>
    <t>10255027</t>
  </si>
  <si>
    <t>PRC587012</t>
  </si>
  <si>
    <t>11252162</t>
  </si>
  <si>
    <t>PRC587234</t>
  </si>
  <si>
    <t>11254303</t>
  </si>
  <si>
    <t>TM6822</t>
  </si>
  <si>
    <t>11254310</t>
  </si>
  <si>
    <t>PRC587357</t>
  </si>
  <si>
    <t>11253111</t>
  </si>
  <si>
    <t>TM6890</t>
  </si>
  <si>
    <t>BM11250012</t>
  </si>
  <si>
    <t>PRC587789</t>
  </si>
  <si>
    <t>11254295</t>
  </si>
  <si>
    <t>TM6909</t>
  </si>
  <si>
    <t>11252943</t>
  </si>
  <si>
    <t>TM6929</t>
  </si>
  <si>
    <t>11254560</t>
  </si>
  <si>
    <t>PRC587870</t>
  </si>
  <si>
    <t>11255140</t>
  </si>
  <si>
    <t>PRC588275</t>
  </si>
  <si>
    <t>11254920</t>
  </si>
  <si>
    <t>PRC588511</t>
  </si>
  <si>
    <t>11255616</t>
  </si>
  <si>
    <t>PRC588582</t>
  </si>
  <si>
    <t>11255436</t>
  </si>
  <si>
    <t>TM7049</t>
  </si>
  <si>
    <t>11255851</t>
  </si>
  <si>
    <t>TM6800</t>
  </si>
  <si>
    <t>11252391</t>
  </si>
  <si>
    <t>TM6821</t>
  </si>
  <si>
    <t>11252879</t>
  </si>
  <si>
    <t>TM6825</t>
  </si>
  <si>
    <t>11252946</t>
  </si>
  <si>
    <t>PRC587518</t>
  </si>
  <si>
    <t>11253713</t>
  </si>
  <si>
    <t>TM6889</t>
  </si>
  <si>
    <t>BM11250011</t>
  </si>
  <si>
    <t>TM6907</t>
  </si>
  <si>
    <t>11254294</t>
  </si>
  <si>
    <t>PRC588080</t>
  </si>
  <si>
    <t>11254804</t>
  </si>
  <si>
    <t>PRC588219</t>
  </si>
  <si>
    <t>11254961</t>
  </si>
  <si>
    <t>PRC588829</t>
  </si>
  <si>
    <t>11255745</t>
  </si>
  <si>
    <t>Benne 30 mcube / DECHETTERIE MLJ CLOSEAUX 2</t>
  </si>
  <si>
    <t>DECHETTERIE MLJ CLOSEAUX 2</t>
  </si>
  <si>
    <t>TM6813</t>
  </si>
  <si>
    <t>11252772</t>
  </si>
  <si>
    <t>PRC587335</t>
  </si>
  <si>
    <t>11252773</t>
  </si>
  <si>
    <t>PRC587375</t>
  </si>
  <si>
    <t>11253854</t>
  </si>
  <si>
    <t>TM6851</t>
  </si>
  <si>
    <t>11253855</t>
  </si>
  <si>
    <t>PRC587579</t>
  </si>
  <si>
    <t>11254701</t>
  </si>
  <si>
    <t>PRC587623</t>
  </si>
  <si>
    <t>11254702</t>
  </si>
  <si>
    <t>PRC587853</t>
  </si>
  <si>
    <t>11255138</t>
  </si>
  <si>
    <t>PRC587864</t>
  </si>
  <si>
    <t>11255135</t>
  </si>
  <si>
    <t>PRC587891</t>
  </si>
  <si>
    <t>11255136</t>
  </si>
  <si>
    <t>PRC587954</t>
  </si>
  <si>
    <t>11254616</t>
  </si>
  <si>
    <t>TM6958</t>
  </si>
  <si>
    <t>11254982</t>
  </si>
  <si>
    <t>TM6959</t>
  </si>
  <si>
    <t>11254983</t>
  </si>
  <si>
    <t>TM6962</t>
  </si>
  <si>
    <t>11255592</t>
  </si>
  <si>
    <t>TM6987</t>
  </si>
  <si>
    <t>11255307</t>
  </si>
  <si>
    <t>PRC588450</t>
  </si>
  <si>
    <t>11255612</t>
  </si>
  <si>
    <t>PRC588469</t>
  </si>
  <si>
    <t>11255613</t>
  </si>
  <si>
    <t>PRC588594</t>
  </si>
  <si>
    <t>11255443</t>
  </si>
  <si>
    <t>PRC588604</t>
  </si>
  <si>
    <t>11255442</t>
  </si>
  <si>
    <t>PRC588653</t>
  </si>
  <si>
    <t>11255445</t>
  </si>
  <si>
    <t>TM7010</t>
  </si>
  <si>
    <t>11255444</t>
  </si>
  <si>
    <t>PRC588751</t>
  </si>
  <si>
    <t>BM4311250003</t>
  </si>
  <si>
    <t>PRC588922</t>
  </si>
  <si>
    <t>11255960</t>
  </si>
  <si>
    <t>TM7029</t>
  </si>
  <si>
    <t>11255958</t>
  </si>
  <si>
    <t>TM7057</t>
  </si>
  <si>
    <t>11255969</t>
  </si>
  <si>
    <t>Total Benne 30 mcube / DECHETTERIE MLJ CLOSEAUX 2</t>
  </si>
  <si>
    <t>TM6806</t>
  </si>
  <si>
    <t>11252139</t>
  </si>
  <si>
    <t>TM6812</t>
  </si>
  <si>
    <t>11252409</t>
  </si>
  <si>
    <t>PRC587214</t>
  </si>
  <si>
    <t>11252791</t>
  </si>
  <si>
    <t>TM6817</t>
  </si>
  <si>
    <t>11254306</t>
  </si>
  <si>
    <t>PRC587414</t>
  </si>
  <si>
    <t>11254817</t>
  </si>
  <si>
    <t>TM6878</t>
  </si>
  <si>
    <t>11254816</t>
  </si>
  <si>
    <t>PRC587539</t>
  </si>
  <si>
    <t>11253804</t>
  </si>
  <si>
    <t>PRC587703</t>
  </si>
  <si>
    <t>11254179</t>
  </si>
  <si>
    <t>TM6921</t>
  </si>
  <si>
    <t>11254369</t>
  </si>
  <si>
    <t>TM6924</t>
  </si>
  <si>
    <t>11254558</t>
  </si>
  <si>
    <t>PRC588105</t>
  </si>
  <si>
    <t>11254801</t>
  </si>
  <si>
    <t>TM6967</t>
  </si>
  <si>
    <t>11254944</t>
  </si>
  <si>
    <t>PRC588620</t>
  </si>
  <si>
    <t>11255462</t>
  </si>
  <si>
    <t>PRC588861</t>
  </si>
  <si>
    <t>11255743</t>
  </si>
  <si>
    <t>TM7038</t>
  </si>
  <si>
    <t>11255835</t>
  </si>
  <si>
    <t>Total DECHETTERIES - SECTEUR OUEST / Transport Déchets Végétaux</t>
  </si>
  <si>
    <t>DECHETTERIES - SECTEUR OUEST / Transport DIB Dimanche &amp; Jours Fériés</t>
  </si>
  <si>
    <t>TM6764</t>
  </si>
  <si>
    <t>11251429</t>
  </si>
  <si>
    <t>TM6839</t>
  </si>
  <si>
    <t>11253271</t>
  </si>
  <si>
    <t>TM6858</t>
  </si>
  <si>
    <t>11253382</t>
  </si>
  <si>
    <t>TM7065</t>
  </si>
  <si>
    <t>11256035</t>
  </si>
  <si>
    <t>TM6774</t>
  </si>
  <si>
    <t>11251906</t>
  </si>
  <si>
    <t>TM6842</t>
  </si>
  <si>
    <t>11253792</t>
  </si>
  <si>
    <t>TM6934</t>
  </si>
  <si>
    <t>11254572</t>
  </si>
  <si>
    <t>TM6990</t>
  </si>
  <si>
    <t>BM11250021</t>
  </si>
  <si>
    <t>TM6747</t>
  </si>
  <si>
    <t>11251421</t>
  </si>
  <si>
    <t>TM6759</t>
  </si>
  <si>
    <t>11251420</t>
  </si>
  <si>
    <t>TM6770</t>
  </si>
  <si>
    <t>11251454</t>
  </si>
  <si>
    <t>TM6837</t>
  </si>
  <si>
    <t>11253267</t>
  </si>
  <si>
    <t>TM6874</t>
  </si>
  <si>
    <t>11254703</t>
  </si>
  <si>
    <t>TM6930</t>
  </si>
  <si>
    <t>BM11250017</t>
  </si>
  <si>
    <t>TM6991</t>
  </si>
  <si>
    <t>11255313</t>
  </si>
  <si>
    <t>TM7064</t>
  </si>
  <si>
    <t>11256034</t>
  </si>
  <si>
    <t>TM6769</t>
  </si>
  <si>
    <t>11251456</t>
  </si>
  <si>
    <t>TM6860</t>
  </si>
  <si>
    <t>11253377</t>
  </si>
  <si>
    <t>TM6767</t>
  </si>
  <si>
    <t>11251434</t>
  </si>
  <si>
    <t>TM6840</t>
  </si>
  <si>
    <t>11253266</t>
  </si>
  <si>
    <t>TM6868</t>
  </si>
  <si>
    <t>11253301</t>
  </si>
  <si>
    <t>TM6753</t>
  </si>
  <si>
    <t>10257442</t>
  </si>
  <si>
    <t>Total DECHETTERIES - SECTEUR OUEST / Transport DIB Dimanche &amp; Jours Fériés</t>
  </si>
  <si>
    <t>DECHETTERIES - SECTEUR OUEST / Transport DVE Dimanche &amp; Jours Fériés</t>
  </si>
  <si>
    <t>TM6763</t>
  </si>
  <si>
    <t>11251444</t>
  </si>
  <si>
    <t>TM6870</t>
  </si>
  <si>
    <t>11253392</t>
  </si>
  <si>
    <t>TM7062</t>
  </si>
  <si>
    <t>BM11250025</t>
  </si>
  <si>
    <t>TM6757</t>
  </si>
  <si>
    <t>11251411</t>
  </si>
  <si>
    <t>TM6762</t>
  </si>
  <si>
    <t>11251412</t>
  </si>
  <si>
    <t>TM6866</t>
  </si>
  <si>
    <t>11253383</t>
  </si>
  <si>
    <t>TM6992</t>
  </si>
  <si>
    <t>11255315</t>
  </si>
  <si>
    <t>TM6838</t>
  </si>
  <si>
    <t>11253265</t>
  </si>
  <si>
    <t>TM6841</t>
  </si>
  <si>
    <t>11253791</t>
  </si>
  <si>
    <t>TM6871</t>
  </si>
  <si>
    <t>11253381</t>
  </si>
  <si>
    <t>TM6933</t>
  </si>
  <si>
    <t>11254570</t>
  </si>
  <si>
    <t>TM6750</t>
  </si>
  <si>
    <t>11251422</t>
  </si>
  <si>
    <t>TM6752</t>
  </si>
  <si>
    <t>11251423</t>
  </si>
  <si>
    <t>TM6771</t>
  </si>
  <si>
    <t>11251455</t>
  </si>
  <si>
    <t>TM6836</t>
  </si>
  <si>
    <t>11253264</t>
  </si>
  <si>
    <t>TM6843</t>
  </si>
  <si>
    <t>11253268</t>
  </si>
  <si>
    <t>TM6872</t>
  </si>
  <si>
    <t>11253376</t>
  </si>
  <si>
    <t>TM6931</t>
  </si>
  <si>
    <t>11254564</t>
  </si>
  <si>
    <t>TM6932</t>
  </si>
  <si>
    <t>BM11250018</t>
  </si>
  <si>
    <t>TM6993</t>
  </si>
  <si>
    <t>11255312</t>
  </si>
  <si>
    <t>TM7063</t>
  </si>
  <si>
    <t>11256033</t>
  </si>
  <si>
    <t>TM6760</t>
  </si>
  <si>
    <t>11251428</t>
  </si>
  <si>
    <t>TM6758</t>
  </si>
  <si>
    <t>11251907</t>
  </si>
  <si>
    <t>TM6876</t>
  </si>
  <si>
    <t>11253396</t>
  </si>
  <si>
    <t>TM6935</t>
  </si>
  <si>
    <t>11254573</t>
  </si>
  <si>
    <t>Total DECHETTERIES - SECTEUR OUEST / Transport DVE Dimanche &amp; Jours Fériés</t>
  </si>
  <si>
    <t>DECHETTERIES - SECTEUR OUEST / Transport Ferrailles</t>
  </si>
  <si>
    <t>Benne 25 mcube / DECHETTERIE MLJ CLOSEAUX 1</t>
  </si>
  <si>
    <t>Benne 25 mcube</t>
  </si>
  <si>
    <t>PRC587321</t>
  </si>
  <si>
    <t>11252769</t>
  </si>
  <si>
    <t>PRC588439</t>
  </si>
  <si>
    <t>11255611</t>
  </si>
  <si>
    <t>Total Benne 25 mcube / DECHETTERIE MLJ CLOSEAUX 1</t>
  </si>
  <si>
    <t>TM6833</t>
  </si>
  <si>
    <t>11252933</t>
  </si>
  <si>
    <t>TM7022</t>
  </si>
  <si>
    <t>11251870</t>
  </si>
  <si>
    <t>TM6797</t>
  </si>
  <si>
    <t>11252163</t>
  </si>
  <si>
    <t>PRC588365</t>
  </si>
  <si>
    <t>11255595</t>
  </si>
  <si>
    <t>PRC587331</t>
  </si>
  <si>
    <t>11253857</t>
  </si>
  <si>
    <t>PRC588227</t>
  </si>
  <si>
    <t>11254962</t>
  </si>
  <si>
    <t>PRC587549</t>
  </si>
  <si>
    <t>11253805</t>
  </si>
  <si>
    <t>PRC588981</t>
  </si>
  <si>
    <t>11255836</t>
  </si>
  <si>
    <t>Total DECHETTERIES - SECTEUR OUEST / Transport Ferrailles</t>
  </si>
  <si>
    <t>DECHETTERIES - SECTEUR OUEST / Transport FERRAILLES Dimanche &amp; Jours Fériés</t>
  </si>
  <si>
    <t>TM6748</t>
  </si>
  <si>
    <t>11251410</t>
  </si>
  <si>
    <t>Total DECHETTERIES - SECTEUR OUEST / Transport FERRAILLES Dimanche &amp; Jours Fériés</t>
  </si>
  <si>
    <t>DECHETTERIES - SECTEUR OUEST / Transport Gravats</t>
  </si>
  <si>
    <t>Benne 10 mcube / DECHETTERIE AUBERGENVILLE</t>
  </si>
  <si>
    <t>LC25112901C</t>
  </si>
  <si>
    <t>11252878</t>
  </si>
  <si>
    <t>11254389</t>
  </si>
  <si>
    <t>LC25119553C</t>
  </si>
  <si>
    <t>11255577</t>
  </si>
  <si>
    <t>FB-578-JE</t>
  </si>
  <si>
    <t>Total Benne 10 mcube / DECHETTERIE AUBERGENVILLE</t>
  </si>
  <si>
    <t>Benne 10 mcube / DECHETTERIE LIMAY</t>
  </si>
  <si>
    <t>11255268</t>
  </si>
  <si>
    <t>Total Benne 10 mcube / DECHETTERIE LIMAY</t>
  </si>
  <si>
    <t>Benne 10 mcube / DECHETTERIE MLV VAUCOULEURS</t>
  </si>
  <si>
    <t>11251850</t>
  </si>
  <si>
    <t>11252790</t>
  </si>
  <si>
    <t>11253321</t>
  </si>
  <si>
    <t>11254370</t>
  </si>
  <si>
    <t>LC25117309C</t>
  </si>
  <si>
    <t>11254943</t>
  </si>
  <si>
    <t>LC251110153C</t>
  </si>
  <si>
    <t>11253273</t>
  </si>
  <si>
    <t>Total Benne 10 mcube / DECHETTERIE MLV VAUCOULEURS</t>
  </si>
  <si>
    <t>Benne 8 mcube / DECHETTERIE AUBERGENVILLE</t>
  </si>
  <si>
    <t>11254569</t>
  </si>
  <si>
    <t>11255594</t>
  </si>
  <si>
    <t>Total Benne 8 mcube / DECHETTERIE AUBERGENVILLE</t>
  </si>
  <si>
    <t>Benne 8 mcube / DECHETTERIE EPONE</t>
  </si>
  <si>
    <t>LC25110068C</t>
  </si>
  <si>
    <t>11251607</t>
  </si>
  <si>
    <t>11251606</t>
  </si>
  <si>
    <t>11254386</t>
  </si>
  <si>
    <t>11254979</t>
  </si>
  <si>
    <t>11255308</t>
  </si>
  <si>
    <t>Total Benne 8 mcube / DECHETTERIE EPONE</t>
  </si>
  <si>
    <t>Benne 8 mcube / DECHETTERIE GARGENVILLE</t>
  </si>
  <si>
    <t>LC25110731C</t>
  </si>
  <si>
    <t>11251859</t>
  </si>
  <si>
    <t>11252161</t>
  </si>
  <si>
    <t>11253319</t>
  </si>
  <si>
    <t>11253113</t>
  </si>
  <si>
    <t>11254923</t>
  </si>
  <si>
    <t>11255593</t>
  </si>
  <si>
    <t>LC25119474C</t>
  </si>
  <si>
    <t>11255576</t>
  </si>
  <si>
    <t>Total Benne 8 mcube / DECHETTERIE GARGENVILLE</t>
  </si>
  <si>
    <t>Benne 8 mcube / DECHETTERIE LIMAY</t>
  </si>
  <si>
    <t>LC25111402C</t>
  </si>
  <si>
    <t>11252141</t>
  </si>
  <si>
    <t>11252947</t>
  </si>
  <si>
    <t>BM11250013</t>
  </si>
  <si>
    <t>Total Benne 8 mcube / DECHETTERIE LIMAY</t>
  </si>
  <si>
    <t>Benne 8 mcube / DECHETTERIE MLJ CLOSEAUX 2</t>
  </si>
  <si>
    <t>11252770</t>
  </si>
  <si>
    <t>11254699</t>
  </si>
  <si>
    <t>LC25117968C</t>
  </si>
  <si>
    <t>11255104</t>
  </si>
  <si>
    <t>11255306</t>
  </si>
  <si>
    <t>11255615</t>
  </si>
  <si>
    <t>11255449</t>
  </si>
  <si>
    <t>11256025</t>
  </si>
  <si>
    <t>Total Benne 8 mcube / DECHETTERIE MLJ CLOSEAUX 2</t>
  </si>
  <si>
    <t>Total DECHETTERIES - SECTEUR OUEST / Transport Gravats</t>
  </si>
  <si>
    <t>DECHETTERIES - SECTEUR OUEST / Transport Gravats Dimanche &amp; Jours fériés</t>
  </si>
  <si>
    <t>11251452</t>
  </si>
  <si>
    <t>11253306</t>
  </si>
  <si>
    <t>11253391</t>
  </si>
  <si>
    <t>11253386</t>
  </si>
  <si>
    <t>11253398</t>
  </si>
  <si>
    <t>11255311</t>
  </si>
  <si>
    <t>11256036</t>
  </si>
  <si>
    <t>11251910</t>
  </si>
  <si>
    <t>11253269</t>
  </si>
  <si>
    <t>11254575</t>
  </si>
  <si>
    <t>11251427</t>
  </si>
  <si>
    <t>11253871</t>
  </si>
  <si>
    <t>Total DECHETTERIES - SECTEUR OUEST / Transport Gravats Dimanche &amp; Jours fériés</t>
  </si>
  <si>
    <t>DECHETTERIES - SECTEUR OUEST / Transport Plâtre</t>
  </si>
  <si>
    <t>Benne Toit Coulissant 15 mcube / DECHETTERIE AUBERGENVILLE</t>
  </si>
  <si>
    <t>PRC588212</t>
  </si>
  <si>
    <t>11254958</t>
  </si>
  <si>
    <t>Total Benne Toit Coulissant 15 mcube / DECHETTERIE AUBERGENVILLE</t>
  </si>
  <si>
    <t>Benne Toit Coulissant 15 mcube / DECHETTERIE EPONE</t>
  </si>
  <si>
    <t>PRC587034</t>
  </si>
  <si>
    <t>11251867</t>
  </si>
  <si>
    <t>TM7048</t>
  </si>
  <si>
    <t>11256026</t>
  </si>
  <si>
    <t>Total Benne Toit Coulissant 15 mcube / DECHETTERIE EPONE</t>
  </si>
  <si>
    <t>Benne Toit Coulissant 15 mcube / DECHETTERIE GARGENVILLE</t>
  </si>
  <si>
    <t>TM6972</t>
  </si>
  <si>
    <t>11254919</t>
  </si>
  <si>
    <t>Total Benne Toit Coulissant 15 mcube / DECHETTERIE GARGENVILLE</t>
  </si>
  <si>
    <t>Benne Toit Coulissant 15 mcube / DECHETTERIE LIMAY</t>
  </si>
  <si>
    <t>PRC588073</t>
  </si>
  <si>
    <t>11254802</t>
  </si>
  <si>
    <t>Total Benne Toit Coulissant 15 mcube / DECHETTERIE LIMAY</t>
  </si>
  <si>
    <t>Benne Toit Coulissant 15 mcube / DECHETTERIE MLJ CLOSEAUX 2</t>
  </si>
  <si>
    <t>TM6950</t>
  </si>
  <si>
    <t>11254613</t>
  </si>
  <si>
    <t>PRC588764</t>
  </si>
  <si>
    <t>11255574</t>
  </si>
  <si>
    <t>Total Benne Toit Coulissant 15 mcube / DECHETTERIE MLJ CLOSEAUX 2</t>
  </si>
  <si>
    <t>Benne Toit Coulissant 15 mcube / DECHETTERIE MLV VAUCOULEURS</t>
  </si>
  <si>
    <t>PRC587203</t>
  </si>
  <si>
    <t>11252792</t>
  </si>
  <si>
    <t>PRC588167</t>
  </si>
  <si>
    <t>BM4311250002</t>
  </si>
  <si>
    <t>Total Benne Toit Coulissant 15 mcube / DECHETTERIE MLV VAUCOULEURS</t>
  </si>
  <si>
    <t>Total DECHETTERIES - SECTEUR OUEST / Transport Plâtre</t>
  </si>
  <si>
    <t>DECHETTERIES - SECTEUR OUEST / Transport Plâtre Dimanche et Jours Fériés</t>
  </si>
  <si>
    <t>Transport Plâtre Dimanche et Jours Fériés</t>
  </si>
  <si>
    <t>TM6772</t>
  </si>
  <si>
    <t>11251458</t>
  </si>
  <si>
    <t>TM6773</t>
  </si>
  <si>
    <t>11251453</t>
  </si>
  <si>
    <t>Total DECHETTERIES - SECTEUR OUEST / Transport Plâtre Dimanche et Jours Fériés</t>
  </si>
  <si>
    <t>Total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</si>
</sst>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9" x14ac:knownFonts="1">
    <font>
      <sz val="11"/>
      <color indexed="8"/>
      <name val="Calibri"/>
      <family val="2"/>
      <scheme val="minor"/>
    </font>
    <font>
      <b/>
      <sz val="10"/>
      <name val="Arial"/>
    </font>
    <font>
      <b/>
      <sz val="10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b/>
      <sz val="8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FDBDB"/>
      </patternFill>
    </fill>
    <fill>
      <patternFill patternType="solid">
        <fgColor rgb="FF92FF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right"/>
    </xf>
    <xf numFmtId="49" fontId="3" fillId="3" borderId="2" xfId="0" applyNumberFormat="1" applyFont="1" applyFill="1" applyBorder="1" applyAlignment="1">
      <alignment horizontal="left"/>
    </xf>
    <xf numFmtId="4" fontId="6" fillId="3" borderId="1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4" fontId="6" fillId="4" borderId="1" xfId="0" applyNumberFormat="1" applyFont="1" applyFill="1" applyBorder="1" applyAlignment="1">
      <alignment horizontal="right"/>
    </xf>
    <xf numFmtId="49" fontId="7" fillId="0" borderId="2" xfId="0" applyNumberFormat="1" applyFont="1" applyBorder="1" applyAlignment="1">
      <alignment horizontal="left"/>
    </xf>
    <xf numFmtId="14" fontId="7" fillId="0" borderId="2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right"/>
    </xf>
    <xf numFmtId="0" fontId="8" fillId="0" borderId="0" xfId="0" applyFont="1"/>
    <xf numFmtId="165" fontId="7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5"/>
  <sheetViews>
    <sheetView topLeftCell="A19" workbookViewId="0">
      <selection activeCell="O50" sqref="O50"/>
    </sheetView>
  </sheetViews>
  <sheetFormatPr baseColWidth="10" defaultColWidth="9.140625" defaultRowHeight="15" x14ac:dyDescent="0.25"/>
  <cols>
    <col min="1" max="1" width="23.5703125" bestFit="1" customWidth="1"/>
    <col min="2" max="2" width="45.140625" bestFit="1" customWidth="1"/>
    <col min="3" max="3" width="9.28515625" bestFit="1" customWidth="1"/>
    <col min="4" max="4" width="6" bestFit="1" customWidth="1"/>
    <col min="5" max="5" width="7.5703125" bestFit="1" customWidth="1"/>
    <col min="6" max="6" width="15" customWidth="1"/>
    <col min="7" max="7" width="37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2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20</v>
      </c>
      <c r="C13" s="4">
        <v>45969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29</v>
      </c>
      <c r="M13" s="8">
        <v>1</v>
      </c>
      <c r="N13" s="9">
        <v>1.84</v>
      </c>
      <c r="O13" s="8">
        <v>96.91</v>
      </c>
    </row>
    <row r="14" spans="1:15" x14ac:dyDescent="0.25">
      <c r="A14" s="3" t="s">
        <v>19</v>
      </c>
      <c r="B14" s="3" t="s">
        <v>20</v>
      </c>
      <c r="C14" s="4">
        <v>45974</v>
      </c>
      <c r="D14" s="3" t="s">
        <v>21</v>
      </c>
      <c r="E14" s="3" t="s">
        <v>30</v>
      </c>
      <c r="F14" s="3" t="s">
        <v>23</v>
      </c>
      <c r="G14" s="3" t="s">
        <v>24</v>
      </c>
      <c r="H14" s="3" t="s">
        <v>25</v>
      </c>
      <c r="I14" s="3" t="s">
        <v>31</v>
      </c>
      <c r="J14" s="3" t="s">
        <v>32</v>
      </c>
      <c r="K14" s="3" t="s">
        <v>33</v>
      </c>
      <c r="L14" s="3" t="s">
        <v>34</v>
      </c>
      <c r="M14" s="8">
        <v>1</v>
      </c>
      <c r="N14" s="9">
        <v>2.48</v>
      </c>
      <c r="O14" s="8">
        <v>130.62</v>
      </c>
    </row>
    <row r="15" spans="1:15" x14ac:dyDescent="0.25">
      <c r="A15" s="3" t="s">
        <v>19</v>
      </c>
      <c r="B15" s="3" t="s">
        <v>20</v>
      </c>
      <c r="C15" s="4">
        <v>45980</v>
      </c>
      <c r="D15" s="3" t="s">
        <v>21</v>
      </c>
      <c r="E15" s="3" t="s">
        <v>35</v>
      </c>
      <c r="F15" s="3" t="s">
        <v>23</v>
      </c>
      <c r="G15" s="3" t="s">
        <v>24</v>
      </c>
      <c r="H15" s="3" t="s">
        <v>25</v>
      </c>
      <c r="I15" s="3" t="s">
        <v>36</v>
      </c>
      <c r="J15" s="3" t="s">
        <v>37</v>
      </c>
      <c r="K15" s="3" t="s">
        <v>28</v>
      </c>
      <c r="L15" s="3" t="s">
        <v>29</v>
      </c>
      <c r="M15" s="8">
        <v>1</v>
      </c>
      <c r="N15" s="9">
        <v>3.26</v>
      </c>
      <c r="O15" s="8">
        <v>171.7</v>
      </c>
    </row>
    <row r="16" spans="1:15" x14ac:dyDescent="0.25">
      <c r="A16" s="3" t="s">
        <v>19</v>
      </c>
      <c r="B16" s="3" t="s">
        <v>20</v>
      </c>
      <c r="C16" s="4">
        <v>45985</v>
      </c>
      <c r="D16" s="3" t="s">
        <v>21</v>
      </c>
      <c r="E16" s="3" t="s">
        <v>38</v>
      </c>
      <c r="F16" s="3" t="s">
        <v>23</v>
      </c>
      <c r="G16" s="3" t="s">
        <v>24</v>
      </c>
      <c r="H16" s="3" t="s">
        <v>25</v>
      </c>
      <c r="I16" s="3" t="s">
        <v>39</v>
      </c>
      <c r="J16" s="3" t="s">
        <v>40</v>
      </c>
      <c r="K16" s="3" t="s">
        <v>28</v>
      </c>
      <c r="L16" s="3" t="s">
        <v>29</v>
      </c>
      <c r="M16" s="8">
        <v>1</v>
      </c>
      <c r="N16" s="9">
        <v>1.54</v>
      </c>
      <c r="O16" s="8">
        <v>81.11</v>
      </c>
    </row>
    <row r="17" spans="1:15" x14ac:dyDescent="0.25">
      <c r="A17" s="10" t="s">
        <v>1</v>
      </c>
      <c r="B17" s="10" t="s">
        <v>41</v>
      </c>
      <c r="C17" s="10" t="s">
        <v>1</v>
      </c>
      <c r="D17" s="10" t="s">
        <v>1</v>
      </c>
      <c r="E17" s="10" t="s">
        <v>1</v>
      </c>
      <c r="F17" s="10" t="s">
        <v>1</v>
      </c>
      <c r="G17" s="10" t="s">
        <v>1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</v>
      </c>
      <c r="M17" s="11">
        <v>4</v>
      </c>
      <c r="N17" s="11">
        <v>9.1199999999999992</v>
      </c>
      <c r="O17" s="11">
        <v>480.35</v>
      </c>
    </row>
    <row r="18" spans="1:15" x14ac:dyDescent="0.25">
      <c r="B18" s="2" t="s">
        <v>1</v>
      </c>
    </row>
    <row r="19" spans="1:15" x14ac:dyDescent="0.25">
      <c r="B19" s="2" t="s">
        <v>42</v>
      </c>
    </row>
    <row r="20" spans="1:15" x14ac:dyDescent="0.25">
      <c r="B20" s="2" t="s">
        <v>1</v>
      </c>
    </row>
    <row r="21" spans="1:15" x14ac:dyDescent="0.25">
      <c r="A21" s="6" t="s">
        <v>4</v>
      </c>
      <c r="B21" s="6" t="s">
        <v>5</v>
      </c>
      <c r="C21" s="6" t="s">
        <v>6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11</v>
      </c>
      <c r="I21" s="6" t="s">
        <v>12</v>
      </c>
      <c r="J21" s="6" t="s">
        <v>13</v>
      </c>
      <c r="K21" s="6" t="s">
        <v>14</v>
      </c>
      <c r="L21" s="6" t="s">
        <v>15</v>
      </c>
      <c r="M21" s="6" t="s">
        <v>16</v>
      </c>
      <c r="N21" s="6" t="s">
        <v>17</v>
      </c>
      <c r="O21" s="6" t="s">
        <v>18</v>
      </c>
    </row>
    <row r="22" spans="1:15" x14ac:dyDescent="0.25">
      <c r="A22" s="3" t="s">
        <v>19</v>
      </c>
      <c r="B22" s="3" t="s">
        <v>43</v>
      </c>
      <c r="C22" s="4">
        <v>45968</v>
      </c>
      <c r="D22" s="3" t="s">
        <v>21</v>
      </c>
      <c r="E22" s="3" t="s">
        <v>44</v>
      </c>
      <c r="F22" s="3" t="s">
        <v>23</v>
      </c>
      <c r="G22" s="3" t="s">
        <v>24</v>
      </c>
      <c r="H22" s="3" t="s">
        <v>25</v>
      </c>
      <c r="I22" s="3" t="s">
        <v>45</v>
      </c>
      <c r="J22" s="3" t="s">
        <v>46</v>
      </c>
      <c r="K22" s="3" t="s">
        <v>33</v>
      </c>
      <c r="L22" s="3" t="s">
        <v>47</v>
      </c>
      <c r="M22" s="8">
        <v>1</v>
      </c>
      <c r="N22" s="9">
        <v>1.96</v>
      </c>
      <c r="O22" s="8">
        <v>103.23</v>
      </c>
    </row>
    <row r="23" spans="1:15" x14ac:dyDescent="0.25">
      <c r="A23" s="3" t="s">
        <v>19</v>
      </c>
      <c r="B23" s="3" t="s">
        <v>43</v>
      </c>
      <c r="C23" s="4">
        <v>45976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25</v>
      </c>
      <c r="I23" s="3" t="s">
        <v>26</v>
      </c>
      <c r="J23" s="3" t="s">
        <v>48</v>
      </c>
      <c r="K23" s="3" t="s">
        <v>28</v>
      </c>
      <c r="L23" s="3" t="s">
        <v>29</v>
      </c>
      <c r="M23" s="8">
        <v>1</v>
      </c>
      <c r="N23" s="9">
        <v>3.4</v>
      </c>
      <c r="O23" s="8">
        <v>179.08</v>
      </c>
    </row>
    <row r="24" spans="1:15" x14ac:dyDescent="0.25">
      <c r="A24" s="3" t="s">
        <v>19</v>
      </c>
      <c r="B24" s="3" t="s">
        <v>43</v>
      </c>
      <c r="C24" s="4">
        <v>45982</v>
      </c>
      <c r="D24" s="3" t="s">
        <v>21</v>
      </c>
      <c r="E24" s="3" t="s">
        <v>44</v>
      </c>
      <c r="F24" s="3" t="s">
        <v>23</v>
      </c>
      <c r="G24" s="3" t="s">
        <v>24</v>
      </c>
      <c r="H24" s="3" t="s">
        <v>25</v>
      </c>
      <c r="I24" s="3" t="s">
        <v>49</v>
      </c>
      <c r="J24" s="3" t="s">
        <v>50</v>
      </c>
      <c r="K24" s="3" t="s">
        <v>51</v>
      </c>
      <c r="L24" s="3" t="s">
        <v>52</v>
      </c>
      <c r="M24" s="8">
        <v>1</v>
      </c>
      <c r="N24" s="9">
        <v>2.3199999999999998</v>
      </c>
      <c r="O24" s="8">
        <v>122.19</v>
      </c>
    </row>
    <row r="25" spans="1:15" x14ac:dyDescent="0.25">
      <c r="A25" s="3" t="s">
        <v>19</v>
      </c>
      <c r="B25" s="3" t="s">
        <v>43</v>
      </c>
      <c r="C25" s="4">
        <v>45987</v>
      </c>
      <c r="D25" s="3" t="s">
        <v>21</v>
      </c>
      <c r="E25" s="3" t="s">
        <v>35</v>
      </c>
      <c r="F25" s="3" t="s">
        <v>23</v>
      </c>
      <c r="G25" s="3" t="s">
        <v>24</v>
      </c>
      <c r="H25" s="3" t="s">
        <v>25</v>
      </c>
      <c r="I25" s="3" t="s">
        <v>53</v>
      </c>
      <c r="J25" s="3" t="s">
        <v>54</v>
      </c>
      <c r="K25" s="3" t="s">
        <v>28</v>
      </c>
      <c r="L25" s="3" t="s">
        <v>29</v>
      </c>
      <c r="M25" s="8">
        <v>1</v>
      </c>
      <c r="N25" s="9">
        <v>1.58</v>
      </c>
      <c r="O25" s="8">
        <v>83.22</v>
      </c>
    </row>
    <row r="26" spans="1:15" x14ac:dyDescent="0.25">
      <c r="A26" s="10" t="s">
        <v>1</v>
      </c>
      <c r="B26" s="10" t="s">
        <v>55</v>
      </c>
      <c r="C26" s="10" t="s">
        <v>1</v>
      </c>
      <c r="D26" s="10" t="s">
        <v>1</v>
      </c>
      <c r="E26" s="10" t="s">
        <v>1</v>
      </c>
      <c r="F26" s="10" t="s">
        <v>1</v>
      </c>
      <c r="G26" s="10" t="s">
        <v>1</v>
      </c>
      <c r="H26" s="10" t="s">
        <v>1</v>
      </c>
      <c r="I26" s="10" t="s">
        <v>1</v>
      </c>
      <c r="J26" s="10" t="s">
        <v>1</v>
      </c>
      <c r="K26" s="10" t="s">
        <v>1</v>
      </c>
      <c r="L26" s="10" t="s">
        <v>1</v>
      </c>
      <c r="M26" s="11">
        <v>4</v>
      </c>
      <c r="N26" s="11">
        <v>9.26</v>
      </c>
      <c r="O26" s="11">
        <v>487.73</v>
      </c>
    </row>
    <row r="27" spans="1:15" x14ac:dyDescent="0.25">
      <c r="B27" s="2" t="s">
        <v>1</v>
      </c>
    </row>
    <row r="28" spans="1:15" x14ac:dyDescent="0.25">
      <c r="B28" s="2" t="s">
        <v>56</v>
      </c>
    </row>
    <row r="29" spans="1:15" x14ac:dyDescent="0.25">
      <c r="B29" s="2" t="s">
        <v>1</v>
      </c>
    </row>
    <row r="30" spans="1:15" x14ac:dyDescent="0.25">
      <c r="A30" s="6" t="s">
        <v>4</v>
      </c>
      <c r="B30" s="6" t="s">
        <v>5</v>
      </c>
      <c r="C30" s="6" t="s">
        <v>6</v>
      </c>
      <c r="D30" s="6" t="s">
        <v>7</v>
      </c>
      <c r="E30" s="6" t="s">
        <v>8</v>
      </c>
      <c r="F30" s="6" t="s">
        <v>9</v>
      </c>
      <c r="G30" s="6" t="s">
        <v>10</v>
      </c>
      <c r="H30" s="6" t="s">
        <v>11</v>
      </c>
      <c r="I30" s="6" t="s">
        <v>12</v>
      </c>
      <c r="J30" s="6" t="s">
        <v>13</v>
      </c>
      <c r="K30" s="6" t="s">
        <v>14</v>
      </c>
      <c r="L30" s="6" t="s">
        <v>15</v>
      </c>
      <c r="M30" s="6" t="s">
        <v>16</v>
      </c>
      <c r="N30" s="6" t="s">
        <v>17</v>
      </c>
      <c r="O30" s="6" t="s">
        <v>18</v>
      </c>
    </row>
    <row r="31" spans="1:15" x14ac:dyDescent="0.25">
      <c r="A31" s="3" t="s">
        <v>19</v>
      </c>
      <c r="B31" s="3" t="s">
        <v>57</v>
      </c>
      <c r="C31" s="4">
        <v>45965</v>
      </c>
      <c r="D31" s="3" t="s">
        <v>21</v>
      </c>
      <c r="E31" s="3" t="s">
        <v>58</v>
      </c>
      <c r="F31" s="3" t="s">
        <v>23</v>
      </c>
      <c r="G31" s="3" t="s">
        <v>59</v>
      </c>
      <c r="H31" s="3" t="s">
        <v>25</v>
      </c>
      <c r="I31" s="3" t="s">
        <v>60</v>
      </c>
      <c r="J31" s="3" t="s">
        <v>61</v>
      </c>
      <c r="K31" s="3" t="s">
        <v>62</v>
      </c>
      <c r="L31" s="3" t="s">
        <v>63</v>
      </c>
      <c r="M31" s="8">
        <v>1</v>
      </c>
      <c r="N31" s="9">
        <v>4.3</v>
      </c>
      <c r="O31" s="8">
        <v>226.48</v>
      </c>
    </row>
    <row r="32" spans="1:15" x14ac:dyDescent="0.25">
      <c r="A32" s="3" t="s">
        <v>19</v>
      </c>
      <c r="B32" s="3" t="s">
        <v>57</v>
      </c>
      <c r="C32" s="4">
        <v>45968</v>
      </c>
      <c r="D32" s="3" t="s">
        <v>21</v>
      </c>
      <c r="E32" s="3" t="s">
        <v>44</v>
      </c>
      <c r="F32" s="3" t="s">
        <v>23</v>
      </c>
      <c r="G32" s="3" t="s">
        <v>59</v>
      </c>
      <c r="H32" s="3" t="s">
        <v>25</v>
      </c>
      <c r="I32" s="3" t="s">
        <v>26</v>
      </c>
      <c r="J32" s="3" t="s">
        <v>64</v>
      </c>
      <c r="K32" s="3" t="s">
        <v>62</v>
      </c>
      <c r="L32" s="3" t="s">
        <v>65</v>
      </c>
      <c r="M32" s="8">
        <v>1</v>
      </c>
      <c r="N32" s="9">
        <v>3.44</v>
      </c>
      <c r="O32" s="8">
        <v>181.19</v>
      </c>
    </row>
    <row r="33" spans="1:15" x14ac:dyDescent="0.25">
      <c r="A33" s="3" t="s">
        <v>19</v>
      </c>
      <c r="B33" s="3" t="s">
        <v>57</v>
      </c>
      <c r="C33" s="4">
        <v>45975</v>
      </c>
      <c r="D33" s="3" t="s">
        <v>21</v>
      </c>
      <c r="E33" s="3" t="s">
        <v>44</v>
      </c>
      <c r="F33" s="3" t="s">
        <v>23</v>
      </c>
      <c r="G33" s="3" t="s">
        <v>59</v>
      </c>
      <c r="H33" s="3" t="s">
        <v>25</v>
      </c>
      <c r="I33" s="3" t="s">
        <v>26</v>
      </c>
      <c r="J33" s="3" t="s">
        <v>66</v>
      </c>
      <c r="K33" s="3" t="s">
        <v>67</v>
      </c>
      <c r="L33" s="3" t="s">
        <v>68</v>
      </c>
      <c r="M33" s="8">
        <v>1</v>
      </c>
      <c r="N33" s="9">
        <v>3.22</v>
      </c>
      <c r="O33" s="8">
        <v>169.6</v>
      </c>
    </row>
    <row r="34" spans="1:15" x14ac:dyDescent="0.25">
      <c r="A34" s="3" t="s">
        <v>19</v>
      </c>
      <c r="B34" s="3" t="s">
        <v>57</v>
      </c>
      <c r="C34" s="4">
        <v>45978</v>
      </c>
      <c r="D34" s="3" t="s">
        <v>21</v>
      </c>
      <c r="E34" s="3" t="s">
        <v>38</v>
      </c>
      <c r="F34" s="3" t="s">
        <v>23</v>
      </c>
      <c r="G34" s="3" t="s">
        <v>59</v>
      </c>
      <c r="H34" s="3" t="s">
        <v>25</v>
      </c>
      <c r="I34" s="3" t="s">
        <v>69</v>
      </c>
      <c r="J34" s="3" t="s">
        <v>70</v>
      </c>
      <c r="K34" s="3" t="s">
        <v>71</v>
      </c>
      <c r="L34" s="3" t="s">
        <v>63</v>
      </c>
      <c r="M34" s="8">
        <v>1</v>
      </c>
      <c r="N34" s="9">
        <v>1.4</v>
      </c>
      <c r="O34" s="8">
        <v>73.739999999999995</v>
      </c>
    </row>
    <row r="35" spans="1:15" x14ac:dyDescent="0.25">
      <c r="A35" s="10" t="s">
        <v>1</v>
      </c>
      <c r="B35" s="10" t="s">
        <v>72</v>
      </c>
      <c r="C35" s="10" t="s">
        <v>1</v>
      </c>
      <c r="D35" s="10" t="s">
        <v>1</v>
      </c>
      <c r="E35" s="10" t="s">
        <v>1</v>
      </c>
      <c r="F35" s="10" t="s">
        <v>1</v>
      </c>
      <c r="G35" s="10" t="s">
        <v>1</v>
      </c>
      <c r="H35" s="10" t="s">
        <v>1</v>
      </c>
      <c r="I35" s="10" t="s">
        <v>1</v>
      </c>
      <c r="J35" s="10" t="s">
        <v>1</v>
      </c>
      <c r="K35" s="10" t="s">
        <v>1</v>
      </c>
      <c r="L35" s="10" t="s">
        <v>1</v>
      </c>
      <c r="M35" s="11">
        <v>4</v>
      </c>
      <c r="N35" s="11">
        <v>12.36</v>
      </c>
      <c r="O35" s="11">
        <v>651</v>
      </c>
    </row>
    <row r="36" spans="1:15" x14ac:dyDescent="0.25">
      <c r="B36" s="2" t="s">
        <v>1</v>
      </c>
    </row>
    <row r="37" spans="1:15" x14ac:dyDescent="0.25">
      <c r="B37" s="2" t="s">
        <v>73</v>
      </c>
    </row>
    <row r="38" spans="1:15" x14ac:dyDescent="0.25">
      <c r="B38" s="2" t="s">
        <v>1</v>
      </c>
    </row>
    <row r="39" spans="1:15" x14ac:dyDescent="0.25">
      <c r="A39" s="6" t="s">
        <v>4</v>
      </c>
      <c r="B39" s="6" t="s">
        <v>5</v>
      </c>
      <c r="C39" s="6" t="s">
        <v>6</v>
      </c>
      <c r="D39" s="6" t="s">
        <v>7</v>
      </c>
      <c r="E39" s="6" t="s">
        <v>8</v>
      </c>
      <c r="F39" s="6" t="s">
        <v>9</v>
      </c>
      <c r="G39" s="6" t="s">
        <v>10</v>
      </c>
      <c r="H39" s="6" t="s">
        <v>11</v>
      </c>
      <c r="I39" s="6" t="s">
        <v>12</v>
      </c>
      <c r="J39" s="6" t="s">
        <v>13</v>
      </c>
      <c r="K39" s="6" t="s">
        <v>14</v>
      </c>
      <c r="L39" s="6" t="s">
        <v>15</v>
      </c>
      <c r="M39" s="6" t="s">
        <v>16</v>
      </c>
      <c r="N39" s="6" t="s">
        <v>17</v>
      </c>
      <c r="O39" s="6" t="s">
        <v>18</v>
      </c>
    </row>
    <row r="40" spans="1:15" x14ac:dyDescent="0.25">
      <c r="A40" s="3" t="s">
        <v>19</v>
      </c>
      <c r="B40" s="3" t="s">
        <v>74</v>
      </c>
      <c r="C40" s="4">
        <v>45971</v>
      </c>
      <c r="D40" s="3" t="s">
        <v>21</v>
      </c>
      <c r="E40" s="3" t="s">
        <v>38</v>
      </c>
      <c r="F40" s="3" t="s">
        <v>23</v>
      </c>
      <c r="G40" s="3" t="s">
        <v>59</v>
      </c>
      <c r="H40" s="3" t="s">
        <v>25</v>
      </c>
      <c r="I40" s="3" t="s">
        <v>26</v>
      </c>
      <c r="J40" s="3" t="s">
        <v>75</v>
      </c>
      <c r="K40" s="3" t="s">
        <v>33</v>
      </c>
      <c r="L40" s="3" t="s">
        <v>63</v>
      </c>
      <c r="M40" s="8">
        <v>1</v>
      </c>
      <c r="N40" s="9">
        <v>3.32</v>
      </c>
      <c r="O40" s="8">
        <v>174.87</v>
      </c>
    </row>
    <row r="41" spans="1:15" s="19" customFormat="1" x14ac:dyDescent="0.25">
      <c r="A41" s="16" t="s">
        <v>19</v>
      </c>
      <c r="B41" s="16" t="s">
        <v>74</v>
      </c>
      <c r="C41" s="17">
        <v>45978</v>
      </c>
      <c r="D41" s="16" t="s">
        <v>21</v>
      </c>
      <c r="E41" s="16" t="s">
        <v>38</v>
      </c>
      <c r="F41" s="16" t="s">
        <v>23</v>
      </c>
      <c r="G41" s="16" t="s">
        <v>59</v>
      </c>
      <c r="H41" s="16" t="s">
        <v>25</v>
      </c>
      <c r="I41" s="16" t="s">
        <v>26</v>
      </c>
      <c r="J41" s="16"/>
      <c r="K41" s="16" t="s">
        <v>51</v>
      </c>
      <c r="L41" s="16" t="s">
        <v>52</v>
      </c>
      <c r="M41" s="18">
        <v>1</v>
      </c>
      <c r="N41" s="20">
        <v>2.48</v>
      </c>
      <c r="O41" s="18">
        <v>130.62</v>
      </c>
    </row>
    <row r="42" spans="1:15" x14ac:dyDescent="0.25">
      <c r="A42" s="3" t="s">
        <v>19</v>
      </c>
      <c r="B42" s="3" t="s">
        <v>74</v>
      </c>
      <c r="C42" s="4">
        <v>45981</v>
      </c>
      <c r="D42" s="3" t="s">
        <v>21</v>
      </c>
      <c r="E42" s="3" t="s">
        <v>30</v>
      </c>
      <c r="F42" s="3" t="s">
        <v>23</v>
      </c>
      <c r="G42" s="3" t="s">
        <v>59</v>
      </c>
      <c r="H42" s="3" t="s">
        <v>25</v>
      </c>
      <c r="I42" s="3" t="s">
        <v>76</v>
      </c>
      <c r="J42" s="3" t="s">
        <v>77</v>
      </c>
      <c r="K42" s="3" t="s">
        <v>51</v>
      </c>
      <c r="L42" s="3" t="s">
        <v>52</v>
      </c>
      <c r="M42" s="8">
        <v>1</v>
      </c>
      <c r="N42" s="9">
        <v>3.22</v>
      </c>
      <c r="O42" s="8">
        <v>169.6</v>
      </c>
    </row>
    <row r="43" spans="1:15" x14ac:dyDescent="0.25">
      <c r="A43" s="10" t="s">
        <v>1</v>
      </c>
      <c r="B43" s="10" t="s">
        <v>78</v>
      </c>
      <c r="C43" s="10" t="s">
        <v>1</v>
      </c>
      <c r="D43" s="10" t="s">
        <v>1</v>
      </c>
      <c r="E43" s="10" t="s">
        <v>1</v>
      </c>
      <c r="F43" s="10" t="s">
        <v>1</v>
      </c>
      <c r="G43" s="10" t="s">
        <v>1</v>
      </c>
      <c r="H43" s="10" t="s">
        <v>1</v>
      </c>
      <c r="I43" s="10" t="s">
        <v>1</v>
      </c>
      <c r="J43" s="10" t="s">
        <v>1</v>
      </c>
      <c r="K43" s="10" t="s">
        <v>1</v>
      </c>
      <c r="L43" s="10" t="s">
        <v>1</v>
      </c>
      <c r="M43" s="11">
        <f>SUM(M40:M42)</f>
        <v>3</v>
      </c>
      <c r="N43" s="11">
        <f>SUM(N40:N42)</f>
        <v>9.02</v>
      </c>
      <c r="O43" s="11">
        <f>SUM(O40:O42)</f>
        <v>475.09000000000003</v>
      </c>
    </row>
    <row r="44" spans="1:15" x14ac:dyDescent="0.25">
      <c r="A44" s="5" t="s">
        <v>1</v>
      </c>
      <c r="B44" s="5" t="s">
        <v>79</v>
      </c>
      <c r="C44" s="5" t="s">
        <v>1</v>
      </c>
      <c r="D44" s="5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1</v>
      </c>
      <c r="L44" s="5" t="s">
        <v>1</v>
      </c>
      <c r="M44" s="8">
        <v>15</v>
      </c>
      <c r="N44" s="9">
        <f xml:space="preserve"> SUM(N17,N26,N35,N43)</f>
        <v>39.76</v>
      </c>
      <c r="O44" s="8">
        <f>SUM(O17,O26,O35,O43)</f>
        <v>2094.17</v>
      </c>
    </row>
    <row r="45" spans="1:15" x14ac:dyDescent="0.25">
      <c r="A45" s="10" t="s">
        <v>1</v>
      </c>
      <c r="B45" s="10" t="s">
        <v>80</v>
      </c>
      <c r="C45" s="10" t="s">
        <v>1</v>
      </c>
      <c r="D45" s="10" t="s">
        <v>1</v>
      </c>
      <c r="E45" s="10" t="s">
        <v>1</v>
      </c>
      <c r="F45" s="10" t="s">
        <v>1</v>
      </c>
      <c r="G45" s="10" t="s">
        <v>1</v>
      </c>
      <c r="H45" s="10" t="s">
        <v>1</v>
      </c>
      <c r="I45" s="10" t="s">
        <v>1</v>
      </c>
      <c r="J45" s="10" t="s">
        <v>1</v>
      </c>
      <c r="K45" s="10" t="s">
        <v>1</v>
      </c>
      <c r="L45" s="10" t="s">
        <v>1</v>
      </c>
      <c r="M45" s="11">
        <v>15</v>
      </c>
      <c r="N45" s="11">
        <v>39.76</v>
      </c>
      <c r="O45" s="8">
        <f>SUM(O18,O27,O36,O44)</f>
        <v>2094.17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7"/>
  <sheetViews>
    <sheetView topLeftCell="B7" workbookViewId="0">
      <selection activeCell="O41" sqref="O41"/>
    </sheetView>
  </sheetViews>
  <sheetFormatPr baseColWidth="10" defaultColWidth="9.140625" defaultRowHeight="15" x14ac:dyDescent="0.25"/>
  <cols>
    <col min="1" max="1" width="23.5703125" bestFit="1" customWidth="1"/>
    <col min="2" max="2" width="60.140625" customWidth="1"/>
    <col min="3" max="3" width="9.28515625" bestFit="1" customWidth="1"/>
    <col min="4" max="4" width="6" bestFit="1" customWidth="1"/>
    <col min="5" max="5" width="8.140625" bestFit="1" customWidth="1"/>
    <col min="6" max="6" width="30.85546875" bestFit="1" customWidth="1"/>
    <col min="7" max="7" width="37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81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19</v>
      </c>
      <c r="B13" s="12" t="s">
        <v>20</v>
      </c>
      <c r="C13" s="7">
        <v>45962</v>
      </c>
      <c r="D13" s="12" t="s">
        <v>82</v>
      </c>
      <c r="E13" s="12" t="s">
        <v>22</v>
      </c>
      <c r="F13" s="12" t="s">
        <v>83</v>
      </c>
      <c r="G13" s="12" t="s">
        <v>24</v>
      </c>
      <c r="H13" s="12" t="s">
        <v>25</v>
      </c>
      <c r="I13" s="12" t="s">
        <v>26</v>
      </c>
      <c r="J13" s="12" t="s">
        <v>84</v>
      </c>
      <c r="K13" s="12" t="s">
        <v>28</v>
      </c>
      <c r="L13" s="12" t="s">
        <v>29</v>
      </c>
      <c r="M13" s="13">
        <v>1</v>
      </c>
      <c r="N13" s="13">
        <v>3.8</v>
      </c>
      <c r="O13" s="13">
        <v>253.01</v>
      </c>
    </row>
    <row r="14" spans="1:15" x14ac:dyDescent="0.25">
      <c r="A14" s="10" t="s">
        <v>1</v>
      </c>
      <c r="B14" s="10" t="s">
        <v>41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3.8</v>
      </c>
      <c r="O14" s="11">
        <v>253.01</v>
      </c>
    </row>
    <row r="15" spans="1:15" x14ac:dyDescent="0.25">
      <c r="B15" s="2" t="s">
        <v>1</v>
      </c>
    </row>
    <row r="16" spans="1:15" x14ac:dyDescent="0.25">
      <c r="B16" s="2" t="s">
        <v>42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4" t="s">
        <v>19</v>
      </c>
      <c r="B19" s="14" t="s">
        <v>43</v>
      </c>
      <c r="C19" s="7">
        <v>45963</v>
      </c>
      <c r="D19" s="14" t="s">
        <v>21</v>
      </c>
      <c r="E19" s="14" t="s">
        <v>85</v>
      </c>
      <c r="F19" s="14" t="s">
        <v>83</v>
      </c>
      <c r="G19" s="14" t="s">
        <v>24</v>
      </c>
      <c r="H19" s="14" t="s">
        <v>25</v>
      </c>
      <c r="I19" s="14" t="s">
        <v>26</v>
      </c>
      <c r="J19" s="14" t="s">
        <v>86</v>
      </c>
      <c r="K19" s="14" t="s">
        <v>28</v>
      </c>
      <c r="L19" s="14" t="s">
        <v>29</v>
      </c>
      <c r="M19" s="15">
        <v>1</v>
      </c>
      <c r="N19" s="15">
        <v>2.56</v>
      </c>
      <c r="O19" s="15">
        <v>170.45</v>
      </c>
    </row>
    <row r="20" spans="1:15" x14ac:dyDescent="0.25">
      <c r="A20" s="14" t="s">
        <v>19</v>
      </c>
      <c r="B20" s="14" t="s">
        <v>43</v>
      </c>
      <c r="C20" s="7">
        <v>45970</v>
      </c>
      <c r="D20" s="14" t="s">
        <v>21</v>
      </c>
      <c r="E20" s="14" t="s">
        <v>85</v>
      </c>
      <c r="F20" s="14" t="s">
        <v>83</v>
      </c>
      <c r="G20" s="14" t="s">
        <v>24</v>
      </c>
      <c r="H20" s="14" t="s">
        <v>25</v>
      </c>
      <c r="I20" s="14" t="s">
        <v>26</v>
      </c>
      <c r="J20" s="14" t="s">
        <v>87</v>
      </c>
      <c r="K20" s="14" t="s">
        <v>28</v>
      </c>
      <c r="L20" s="14" t="s">
        <v>29</v>
      </c>
      <c r="M20" s="15">
        <v>1</v>
      </c>
      <c r="N20" s="15">
        <v>3.1</v>
      </c>
      <c r="O20" s="15">
        <v>206.4</v>
      </c>
    </row>
    <row r="21" spans="1:15" x14ac:dyDescent="0.25">
      <c r="A21" s="12" t="s">
        <v>19</v>
      </c>
      <c r="B21" s="12" t="s">
        <v>43</v>
      </c>
      <c r="C21" s="7">
        <v>45972</v>
      </c>
      <c r="D21" s="12" t="s">
        <v>82</v>
      </c>
      <c r="E21" s="12" t="s">
        <v>58</v>
      </c>
      <c r="F21" s="12" t="s">
        <v>83</v>
      </c>
      <c r="G21" s="12" t="s">
        <v>24</v>
      </c>
      <c r="H21" s="12" t="s">
        <v>25</v>
      </c>
      <c r="I21" s="12" t="s">
        <v>26</v>
      </c>
      <c r="J21" s="12" t="s">
        <v>88</v>
      </c>
      <c r="K21" s="12" t="s">
        <v>28</v>
      </c>
      <c r="L21" s="12" t="s">
        <v>29</v>
      </c>
      <c r="M21" s="13">
        <v>1</v>
      </c>
      <c r="N21" s="13">
        <v>1.7</v>
      </c>
      <c r="O21" s="13">
        <v>113.19</v>
      </c>
    </row>
    <row r="22" spans="1:15" x14ac:dyDescent="0.25">
      <c r="A22" s="14" t="s">
        <v>19</v>
      </c>
      <c r="B22" s="14" t="s">
        <v>43</v>
      </c>
      <c r="C22" s="7">
        <v>45991</v>
      </c>
      <c r="D22" s="14" t="s">
        <v>21</v>
      </c>
      <c r="E22" s="14" t="s">
        <v>85</v>
      </c>
      <c r="F22" s="14" t="s">
        <v>83</v>
      </c>
      <c r="G22" s="14" t="s">
        <v>24</v>
      </c>
      <c r="H22" s="14" t="s">
        <v>25</v>
      </c>
      <c r="I22" s="14" t="s">
        <v>26</v>
      </c>
      <c r="J22" s="14" t="s">
        <v>89</v>
      </c>
      <c r="K22" s="14" t="s">
        <v>28</v>
      </c>
      <c r="L22" s="14" t="s">
        <v>29</v>
      </c>
      <c r="M22" s="15">
        <v>1</v>
      </c>
      <c r="N22" s="15">
        <v>2</v>
      </c>
      <c r="O22" s="15">
        <v>133.16</v>
      </c>
    </row>
    <row r="23" spans="1:15" x14ac:dyDescent="0.25">
      <c r="A23" s="10" t="s">
        <v>1</v>
      </c>
      <c r="B23" s="10" t="s">
        <v>55</v>
      </c>
      <c r="C23" s="10" t="s">
        <v>1</v>
      </c>
      <c r="D23" s="10" t="s">
        <v>1</v>
      </c>
      <c r="E23" s="10" t="s">
        <v>1</v>
      </c>
      <c r="F23" s="10" t="s">
        <v>1</v>
      </c>
      <c r="G23" s="10" t="s">
        <v>1</v>
      </c>
      <c r="H23" s="10" t="s">
        <v>1</v>
      </c>
      <c r="I23" s="10" t="s">
        <v>1</v>
      </c>
      <c r="J23" s="10" t="s">
        <v>1</v>
      </c>
      <c r="K23" s="10" t="s">
        <v>1</v>
      </c>
      <c r="L23" s="10" t="s">
        <v>1</v>
      </c>
      <c r="M23" s="11">
        <f>SUM(M19:M22)</f>
        <v>4</v>
      </c>
      <c r="N23" s="11">
        <f>SUM(N19:N22)</f>
        <v>9.36</v>
      </c>
      <c r="O23" s="11">
        <f>SUM(O19:O22)</f>
        <v>623.20000000000005</v>
      </c>
    </row>
    <row r="24" spans="1:15" x14ac:dyDescent="0.25">
      <c r="B24" s="2" t="s">
        <v>1</v>
      </c>
    </row>
    <row r="25" spans="1:15" x14ac:dyDescent="0.25">
      <c r="B25" s="2" t="s">
        <v>56</v>
      </c>
    </row>
    <row r="26" spans="1:15" x14ac:dyDescent="0.25">
      <c r="B26" s="2" t="s">
        <v>1</v>
      </c>
    </row>
    <row r="27" spans="1:15" x14ac:dyDescent="0.25">
      <c r="A27" s="6" t="s">
        <v>4</v>
      </c>
      <c r="B27" s="6" t="s">
        <v>5</v>
      </c>
      <c r="C27" s="6" t="s">
        <v>6</v>
      </c>
      <c r="D27" s="6" t="s">
        <v>7</v>
      </c>
      <c r="E27" s="6" t="s">
        <v>8</v>
      </c>
      <c r="F27" s="6" t="s">
        <v>9</v>
      </c>
      <c r="G27" s="6" t="s">
        <v>10</v>
      </c>
      <c r="H27" s="6" t="s">
        <v>11</v>
      </c>
      <c r="I27" s="6" t="s">
        <v>12</v>
      </c>
      <c r="J27" s="6" t="s">
        <v>13</v>
      </c>
      <c r="K27" s="6" t="s">
        <v>14</v>
      </c>
      <c r="L27" s="6" t="s">
        <v>15</v>
      </c>
      <c r="M27" s="6" t="s">
        <v>16</v>
      </c>
      <c r="N27" s="6" t="s">
        <v>17</v>
      </c>
      <c r="O27" s="6" t="s">
        <v>18</v>
      </c>
    </row>
    <row r="28" spans="1:15" x14ac:dyDescent="0.25">
      <c r="A28" s="12" t="s">
        <v>19</v>
      </c>
      <c r="B28" s="12" t="s">
        <v>57</v>
      </c>
      <c r="C28" s="7">
        <v>45972</v>
      </c>
      <c r="D28" s="12" t="s">
        <v>82</v>
      </c>
      <c r="E28" s="12" t="s">
        <v>58</v>
      </c>
      <c r="F28" s="12" t="s">
        <v>83</v>
      </c>
      <c r="G28" s="12" t="s">
        <v>59</v>
      </c>
      <c r="H28" s="12" t="s">
        <v>25</v>
      </c>
      <c r="I28" s="12" t="s">
        <v>26</v>
      </c>
      <c r="J28" s="12" t="s">
        <v>90</v>
      </c>
      <c r="K28" s="12" t="s">
        <v>91</v>
      </c>
      <c r="L28" s="12" t="s">
        <v>92</v>
      </c>
      <c r="M28" s="13">
        <v>1</v>
      </c>
      <c r="N28" s="13">
        <v>2.7</v>
      </c>
      <c r="O28" s="13">
        <v>179.77</v>
      </c>
    </row>
    <row r="29" spans="1:15" x14ac:dyDescent="0.25">
      <c r="A29" s="10" t="s">
        <v>1</v>
      </c>
      <c r="B29" s="10" t="s">
        <v>72</v>
      </c>
      <c r="C29" s="10" t="s">
        <v>1</v>
      </c>
      <c r="D29" s="10" t="s">
        <v>1</v>
      </c>
      <c r="E29" s="10" t="s">
        <v>1</v>
      </c>
      <c r="F29" s="10" t="s">
        <v>1</v>
      </c>
      <c r="G29" s="10" t="s">
        <v>1</v>
      </c>
      <c r="H29" s="10" t="s">
        <v>1</v>
      </c>
      <c r="I29" s="10" t="s">
        <v>1</v>
      </c>
      <c r="J29" s="10" t="s">
        <v>1</v>
      </c>
      <c r="K29" s="10" t="s">
        <v>1</v>
      </c>
      <c r="L29" s="10" t="s">
        <v>1</v>
      </c>
      <c r="M29" s="11">
        <v>1</v>
      </c>
      <c r="N29" s="11">
        <v>2.7</v>
      </c>
      <c r="O29" s="11">
        <v>179.77</v>
      </c>
    </row>
    <row r="30" spans="1:15" x14ac:dyDescent="0.25">
      <c r="B30" s="2" t="s">
        <v>1</v>
      </c>
    </row>
    <row r="31" spans="1:15" x14ac:dyDescent="0.25">
      <c r="B31" s="2" t="s">
        <v>73</v>
      </c>
    </row>
    <row r="32" spans="1:15" x14ac:dyDescent="0.25">
      <c r="B32" s="2" t="s">
        <v>1</v>
      </c>
    </row>
    <row r="33" spans="1:15" x14ac:dyDescent="0.25">
      <c r="A33" s="6" t="s">
        <v>4</v>
      </c>
      <c r="B33" s="6" t="s">
        <v>5</v>
      </c>
      <c r="C33" s="6" t="s">
        <v>6</v>
      </c>
      <c r="D33" s="6" t="s">
        <v>7</v>
      </c>
      <c r="E33" s="6" t="s">
        <v>8</v>
      </c>
      <c r="F33" s="6" t="s">
        <v>9</v>
      </c>
      <c r="G33" s="6" t="s">
        <v>10</v>
      </c>
      <c r="H33" s="6" t="s">
        <v>11</v>
      </c>
      <c r="I33" s="6" t="s">
        <v>12</v>
      </c>
      <c r="J33" s="6" t="s">
        <v>13</v>
      </c>
      <c r="K33" s="6" t="s">
        <v>14</v>
      </c>
      <c r="L33" s="6" t="s">
        <v>15</v>
      </c>
      <c r="M33" s="6" t="s">
        <v>16</v>
      </c>
      <c r="N33" s="6" t="s">
        <v>17</v>
      </c>
      <c r="O33" s="6" t="s">
        <v>18</v>
      </c>
    </row>
    <row r="34" spans="1:15" x14ac:dyDescent="0.25">
      <c r="A34" s="12" t="s">
        <v>19</v>
      </c>
      <c r="B34" s="12" t="s">
        <v>74</v>
      </c>
      <c r="C34" s="7">
        <v>45962</v>
      </c>
      <c r="D34" s="12" t="s">
        <v>82</v>
      </c>
      <c r="E34" s="12" t="s">
        <v>22</v>
      </c>
      <c r="F34" s="12" t="s">
        <v>83</v>
      </c>
      <c r="G34" s="12" t="s">
        <v>59</v>
      </c>
      <c r="H34" s="12" t="s">
        <v>25</v>
      </c>
      <c r="I34" s="12" t="s">
        <v>26</v>
      </c>
      <c r="J34" s="12" t="s">
        <v>93</v>
      </c>
      <c r="K34" s="12" t="s">
        <v>51</v>
      </c>
      <c r="L34" s="12" t="s">
        <v>52</v>
      </c>
      <c r="M34" s="13">
        <v>1</v>
      </c>
      <c r="N34" s="13">
        <v>2.82</v>
      </c>
      <c r="O34" s="13">
        <v>187.76</v>
      </c>
    </row>
    <row r="35" spans="1:15" x14ac:dyDescent="0.25">
      <c r="A35" s="10" t="s">
        <v>1</v>
      </c>
      <c r="B35" s="10" t="s">
        <v>78</v>
      </c>
      <c r="C35" s="10" t="s">
        <v>1</v>
      </c>
      <c r="D35" s="10" t="s">
        <v>1</v>
      </c>
      <c r="E35" s="10" t="s">
        <v>1</v>
      </c>
      <c r="F35" s="10" t="s">
        <v>1</v>
      </c>
      <c r="G35" s="10" t="s">
        <v>1</v>
      </c>
      <c r="H35" s="10" t="s">
        <v>1</v>
      </c>
      <c r="I35" s="10" t="s">
        <v>1</v>
      </c>
      <c r="J35" s="10" t="s">
        <v>1</v>
      </c>
      <c r="K35" s="10" t="s">
        <v>1</v>
      </c>
      <c r="L35" s="10" t="s">
        <v>1</v>
      </c>
      <c r="M35" s="11">
        <v>1</v>
      </c>
      <c r="N35" s="11">
        <v>2.82</v>
      </c>
      <c r="O35" s="11">
        <v>187.76</v>
      </c>
    </row>
    <row r="36" spans="1:15" x14ac:dyDescent="0.25">
      <c r="A36" s="5" t="s">
        <v>1</v>
      </c>
      <c r="B36" s="5" t="s">
        <v>94</v>
      </c>
      <c r="C36" s="5" t="s">
        <v>1</v>
      </c>
      <c r="D36" s="5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 t="s">
        <v>1</v>
      </c>
      <c r="L36" s="5" t="s">
        <v>1</v>
      </c>
      <c r="M36" s="8">
        <f>SUM(M14,M23,M29,M35)</f>
        <v>7</v>
      </c>
      <c r="N36" s="9">
        <f>SUM(N14,N23,N29,N35)</f>
        <v>18.68</v>
      </c>
      <c r="O36" s="8">
        <f>SUM(O14,O23,O29,O35)</f>
        <v>1243.74</v>
      </c>
    </row>
    <row r="37" spans="1:15" x14ac:dyDescent="0.25">
      <c r="A37" s="10" t="s">
        <v>1</v>
      </c>
      <c r="B37" s="10" t="s">
        <v>95</v>
      </c>
      <c r="C37" s="10" t="s">
        <v>1</v>
      </c>
      <c r="D37" s="10" t="s">
        <v>1</v>
      </c>
      <c r="E37" s="10" t="s">
        <v>1</v>
      </c>
      <c r="F37" s="10" t="s">
        <v>1</v>
      </c>
      <c r="G37" s="10" t="s">
        <v>1</v>
      </c>
      <c r="H37" s="10" t="s">
        <v>1</v>
      </c>
      <c r="I37" s="10" t="s">
        <v>1</v>
      </c>
      <c r="J37" s="10" t="s">
        <v>1</v>
      </c>
      <c r="K37" s="10" t="s">
        <v>1</v>
      </c>
      <c r="L37" s="10" t="s">
        <v>1</v>
      </c>
      <c r="M37" s="11">
        <v>7</v>
      </c>
      <c r="N37" s="11">
        <v>18.68</v>
      </c>
      <c r="O37" s="11">
        <v>1243.74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1"/>
  <sheetViews>
    <sheetView topLeftCell="A13" workbookViewId="0">
      <selection activeCell="Q27" sqref="Q27"/>
    </sheetView>
  </sheetViews>
  <sheetFormatPr baseColWidth="10" defaultColWidth="9.140625" defaultRowHeight="15" x14ac:dyDescent="0.25"/>
  <cols>
    <col min="1" max="1" width="23.5703125" bestFit="1" customWidth="1"/>
    <col min="2" max="2" width="57" bestFit="1" customWidth="1"/>
    <col min="3" max="3" width="9.28515625" bestFit="1" customWidth="1"/>
    <col min="4" max="4" width="6" bestFit="1" customWidth="1"/>
    <col min="5" max="5" width="7.5703125" bestFit="1" customWidth="1"/>
    <col min="6" max="6" width="14.570312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96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56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57</v>
      </c>
      <c r="C13" s="4">
        <v>45964</v>
      </c>
      <c r="D13" s="3" t="s">
        <v>21</v>
      </c>
      <c r="E13" s="3" t="s">
        <v>38</v>
      </c>
      <c r="F13" s="3" t="s">
        <v>97</v>
      </c>
      <c r="G13" s="3" t="s">
        <v>98</v>
      </c>
      <c r="H13" s="3" t="s">
        <v>25</v>
      </c>
      <c r="I13" s="3" t="s">
        <v>99</v>
      </c>
      <c r="J13" s="3" t="s">
        <v>100</v>
      </c>
      <c r="K13" s="3" t="s">
        <v>71</v>
      </c>
      <c r="L13" s="3" t="s">
        <v>63</v>
      </c>
      <c r="M13" s="8">
        <v>1</v>
      </c>
      <c r="N13" s="9">
        <v>1.64</v>
      </c>
      <c r="O13" s="8">
        <v>316.14999999999998</v>
      </c>
    </row>
    <row r="14" spans="1:15" x14ac:dyDescent="0.25">
      <c r="A14" s="3" t="s">
        <v>19</v>
      </c>
      <c r="B14" s="3" t="s">
        <v>57</v>
      </c>
      <c r="C14" s="4">
        <v>45968</v>
      </c>
      <c r="D14" s="3" t="s">
        <v>21</v>
      </c>
      <c r="E14" s="3" t="s">
        <v>44</v>
      </c>
      <c r="F14" s="3" t="s">
        <v>97</v>
      </c>
      <c r="G14" s="3" t="s">
        <v>98</v>
      </c>
      <c r="H14" s="3" t="s">
        <v>25</v>
      </c>
      <c r="I14" s="3" t="s">
        <v>101</v>
      </c>
      <c r="J14" s="3" t="s">
        <v>102</v>
      </c>
      <c r="K14" s="3" t="s">
        <v>62</v>
      </c>
      <c r="L14" s="3" t="s">
        <v>65</v>
      </c>
      <c r="M14" s="8">
        <v>1</v>
      </c>
      <c r="N14" s="9">
        <v>1.04</v>
      </c>
      <c r="O14" s="8">
        <v>200.49</v>
      </c>
    </row>
    <row r="15" spans="1:15" x14ac:dyDescent="0.25">
      <c r="A15" s="3" t="s">
        <v>19</v>
      </c>
      <c r="B15" s="3" t="s">
        <v>57</v>
      </c>
      <c r="C15" s="4">
        <v>45974</v>
      </c>
      <c r="D15" s="3" t="s">
        <v>21</v>
      </c>
      <c r="E15" s="3" t="s">
        <v>30</v>
      </c>
      <c r="F15" s="3" t="s">
        <v>97</v>
      </c>
      <c r="G15" s="3" t="s">
        <v>98</v>
      </c>
      <c r="H15" s="3" t="s">
        <v>25</v>
      </c>
      <c r="I15" s="3" t="s">
        <v>103</v>
      </c>
      <c r="J15" s="3" t="s">
        <v>104</v>
      </c>
      <c r="K15" s="3" t="s">
        <v>105</v>
      </c>
      <c r="L15" s="3" t="s">
        <v>106</v>
      </c>
      <c r="M15" s="8">
        <v>1</v>
      </c>
      <c r="N15" s="9">
        <v>1.2</v>
      </c>
      <c r="O15" s="8">
        <v>231.33</v>
      </c>
    </row>
    <row r="16" spans="1:15" x14ac:dyDescent="0.25">
      <c r="A16" s="3" t="s">
        <v>19</v>
      </c>
      <c r="B16" s="3" t="s">
        <v>57</v>
      </c>
      <c r="C16" s="4">
        <v>45979</v>
      </c>
      <c r="D16" s="3" t="s">
        <v>21</v>
      </c>
      <c r="E16" s="3" t="s">
        <v>58</v>
      </c>
      <c r="F16" s="3" t="s">
        <v>97</v>
      </c>
      <c r="G16" s="3" t="s">
        <v>98</v>
      </c>
      <c r="H16" s="3" t="s">
        <v>25</v>
      </c>
      <c r="I16" s="3" t="s">
        <v>107</v>
      </c>
      <c r="J16" s="3" t="s">
        <v>108</v>
      </c>
      <c r="K16" s="3" t="s">
        <v>33</v>
      </c>
      <c r="L16" s="3" t="s">
        <v>109</v>
      </c>
      <c r="M16" s="8">
        <v>1</v>
      </c>
      <c r="N16" s="9">
        <v>0.78</v>
      </c>
      <c r="O16" s="8">
        <v>150.36000000000001</v>
      </c>
    </row>
    <row r="17" spans="1:15" x14ac:dyDescent="0.25">
      <c r="A17" s="10" t="s">
        <v>1</v>
      </c>
      <c r="B17" s="10" t="s">
        <v>72</v>
      </c>
      <c r="C17" s="10" t="s">
        <v>1</v>
      </c>
      <c r="D17" s="10" t="s">
        <v>1</v>
      </c>
      <c r="E17" s="10" t="s">
        <v>1</v>
      </c>
      <c r="F17" s="10" t="s">
        <v>1</v>
      </c>
      <c r="G17" s="10" t="s">
        <v>1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</v>
      </c>
      <c r="M17" s="11">
        <v>4</v>
      </c>
      <c r="N17" s="11">
        <v>4.66</v>
      </c>
      <c r="O17" s="11">
        <v>898.33</v>
      </c>
    </row>
    <row r="18" spans="1:15" x14ac:dyDescent="0.25">
      <c r="A18" s="5" t="s">
        <v>1</v>
      </c>
      <c r="B18" s="5" t="s">
        <v>110</v>
      </c>
      <c r="C18" s="5" t="s">
        <v>1</v>
      </c>
      <c r="D18" s="5" t="s">
        <v>1</v>
      </c>
      <c r="E18" s="5" t="s">
        <v>1</v>
      </c>
      <c r="F18" s="5" t="s">
        <v>1</v>
      </c>
      <c r="G18" s="5" t="s">
        <v>1</v>
      </c>
      <c r="H18" s="5" t="s">
        <v>1</v>
      </c>
      <c r="I18" s="5" t="s">
        <v>1</v>
      </c>
      <c r="J18" s="5" t="s">
        <v>1</v>
      </c>
      <c r="K18" s="5" t="s">
        <v>1</v>
      </c>
      <c r="L18" s="5" t="s">
        <v>1</v>
      </c>
      <c r="M18" s="8">
        <v>4</v>
      </c>
      <c r="N18" s="9">
        <v>4.66</v>
      </c>
      <c r="O18" s="8">
        <v>898.33</v>
      </c>
    </row>
    <row r="19" spans="1:15" x14ac:dyDescent="0.25">
      <c r="B19" s="2" t="s">
        <v>1</v>
      </c>
    </row>
    <row r="20" spans="1:15" x14ac:dyDescent="0.25">
      <c r="B20" s="2" t="s">
        <v>111</v>
      </c>
    </row>
    <row r="21" spans="1:15" x14ac:dyDescent="0.25">
      <c r="B21" s="2" t="s">
        <v>1</v>
      </c>
    </row>
    <row r="22" spans="1:15" x14ac:dyDescent="0.25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12</v>
      </c>
      <c r="J22" s="6" t="s">
        <v>13</v>
      </c>
      <c r="K22" s="6" t="s">
        <v>14</v>
      </c>
      <c r="L22" s="6" t="s">
        <v>15</v>
      </c>
      <c r="M22" s="6" t="s">
        <v>16</v>
      </c>
      <c r="N22" s="6" t="s">
        <v>17</v>
      </c>
      <c r="O22" s="6" t="s">
        <v>18</v>
      </c>
    </row>
    <row r="23" spans="1:15" x14ac:dyDescent="0.25">
      <c r="A23" s="3" t="s">
        <v>19</v>
      </c>
      <c r="B23" s="3" t="s">
        <v>20</v>
      </c>
      <c r="C23" s="4">
        <v>45975</v>
      </c>
      <c r="D23" s="3" t="s">
        <v>21</v>
      </c>
      <c r="E23" s="3" t="s">
        <v>44</v>
      </c>
      <c r="F23" s="3" t="s">
        <v>97</v>
      </c>
      <c r="G23" s="3" t="s">
        <v>98</v>
      </c>
      <c r="H23" s="3" t="s">
        <v>112</v>
      </c>
      <c r="I23" s="3" t="s">
        <v>113</v>
      </c>
      <c r="J23" s="3" t="s">
        <v>114</v>
      </c>
      <c r="K23" s="3" t="s">
        <v>115</v>
      </c>
      <c r="L23" s="3" t="s">
        <v>34</v>
      </c>
      <c r="M23" s="8">
        <v>1</v>
      </c>
      <c r="N23" s="9">
        <v>0.82</v>
      </c>
      <c r="O23" s="8">
        <v>158.08000000000001</v>
      </c>
    </row>
    <row r="24" spans="1:15" x14ac:dyDescent="0.25">
      <c r="A24" s="10" t="s">
        <v>1</v>
      </c>
      <c r="B24" s="10" t="s">
        <v>116</v>
      </c>
      <c r="C24" s="10" t="s">
        <v>1</v>
      </c>
      <c r="D24" s="10" t="s">
        <v>1</v>
      </c>
      <c r="E24" s="10" t="s">
        <v>1</v>
      </c>
      <c r="F24" s="10" t="s">
        <v>1</v>
      </c>
      <c r="G24" s="10" t="s">
        <v>1</v>
      </c>
      <c r="H24" s="10" t="s">
        <v>1</v>
      </c>
      <c r="I24" s="10" t="s">
        <v>1</v>
      </c>
      <c r="J24" s="10" t="s">
        <v>1</v>
      </c>
      <c r="K24" s="10" t="s">
        <v>1</v>
      </c>
      <c r="L24" s="10" t="s">
        <v>1</v>
      </c>
      <c r="M24" s="11">
        <v>1</v>
      </c>
      <c r="N24" s="11">
        <v>0.82</v>
      </c>
      <c r="O24" s="11">
        <v>158.08000000000001</v>
      </c>
    </row>
    <row r="25" spans="1:15" x14ac:dyDescent="0.25">
      <c r="A25" s="5" t="s">
        <v>1</v>
      </c>
      <c r="B25" s="5" t="s">
        <v>110</v>
      </c>
      <c r="C25" s="5" t="s">
        <v>1</v>
      </c>
      <c r="D25" s="5" t="s">
        <v>1</v>
      </c>
      <c r="E25" s="5" t="s">
        <v>1</v>
      </c>
      <c r="F25" s="5" t="s">
        <v>1</v>
      </c>
      <c r="G25" s="5" t="s">
        <v>1</v>
      </c>
      <c r="H25" s="5" t="s">
        <v>1</v>
      </c>
      <c r="I25" s="5" t="s">
        <v>1</v>
      </c>
      <c r="J25" s="5" t="s">
        <v>1</v>
      </c>
      <c r="K25" s="5" t="s">
        <v>1</v>
      </c>
      <c r="L25" s="5" t="s">
        <v>1</v>
      </c>
      <c r="M25" s="8">
        <v>1</v>
      </c>
      <c r="N25" s="9">
        <v>0.82</v>
      </c>
      <c r="O25" s="8">
        <v>158.08000000000001</v>
      </c>
    </row>
    <row r="26" spans="1:15" x14ac:dyDescent="0.25">
      <c r="B26" s="2" t="s">
        <v>1</v>
      </c>
    </row>
    <row r="27" spans="1:15" x14ac:dyDescent="0.25">
      <c r="B27" s="2" t="s">
        <v>117</v>
      </c>
    </row>
    <row r="28" spans="1:15" x14ac:dyDescent="0.25">
      <c r="B28" s="2" t="s">
        <v>1</v>
      </c>
    </row>
    <row r="29" spans="1:15" x14ac:dyDescent="0.25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H29" s="6" t="s">
        <v>11</v>
      </c>
      <c r="I29" s="6" t="s">
        <v>12</v>
      </c>
      <c r="J29" s="6" t="s">
        <v>13</v>
      </c>
      <c r="K29" s="6" t="s">
        <v>14</v>
      </c>
      <c r="L29" s="6" t="s">
        <v>15</v>
      </c>
      <c r="M29" s="6" t="s">
        <v>16</v>
      </c>
      <c r="N29" s="6" t="s">
        <v>17</v>
      </c>
      <c r="O29" s="6" t="s">
        <v>18</v>
      </c>
    </row>
    <row r="30" spans="1:15" x14ac:dyDescent="0.25">
      <c r="A30" s="3" t="s">
        <v>19</v>
      </c>
      <c r="B30" s="3" t="s">
        <v>74</v>
      </c>
      <c r="C30" s="4">
        <v>45971</v>
      </c>
      <c r="D30" s="3" t="s">
        <v>21</v>
      </c>
      <c r="E30" s="3" t="s">
        <v>38</v>
      </c>
      <c r="F30" s="3" t="s">
        <v>97</v>
      </c>
      <c r="G30" s="3" t="s">
        <v>98</v>
      </c>
      <c r="H30" s="3" t="s">
        <v>118</v>
      </c>
      <c r="I30" s="3" t="s">
        <v>119</v>
      </c>
      <c r="J30" s="3" t="s">
        <v>120</v>
      </c>
      <c r="K30" s="3" t="s">
        <v>33</v>
      </c>
      <c r="L30" s="3" t="s">
        <v>63</v>
      </c>
      <c r="M30" s="8">
        <v>1</v>
      </c>
      <c r="N30" s="9">
        <v>2.44</v>
      </c>
      <c r="O30" s="8">
        <v>145.47999999999999</v>
      </c>
    </row>
    <row r="31" spans="1:15" x14ac:dyDescent="0.25">
      <c r="A31" s="10" t="s">
        <v>1</v>
      </c>
      <c r="B31" s="10" t="s">
        <v>121</v>
      </c>
      <c r="C31" s="10" t="s">
        <v>1</v>
      </c>
      <c r="D31" s="10" t="s">
        <v>1</v>
      </c>
      <c r="E31" s="10" t="s">
        <v>1</v>
      </c>
      <c r="F31" s="10" t="s">
        <v>1</v>
      </c>
      <c r="G31" s="10" t="s">
        <v>1</v>
      </c>
      <c r="H31" s="10" t="s">
        <v>1</v>
      </c>
      <c r="I31" s="10" t="s">
        <v>1</v>
      </c>
      <c r="J31" s="10" t="s">
        <v>1</v>
      </c>
      <c r="K31" s="10" t="s">
        <v>1</v>
      </c>
      <c r="L31" s="10" t="s">
        <v>1</v>
      </c>
      <c r="M31" s="11">
        <v>1</v>
      </c>
      <c r="N31" s="11">
        <v>2.44</v>
      </c>
      <c r="O31" s="11">
        <v>145.47999999999999</v>
      </c>
    </row>
    <row r="32" spans="1:15" x14ac:dyDescent="0.25">
      <c r="A32" s="5" t="s">
        <v>1</v>
      </c>
      <c r="B32" s="5" t="s">
        <v>110</v>
      </c>
      <c r="C32" s="5" t="s">
        <v>1</v>
      </c>
      <c r="D32" s="5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 t="s">
        <v>1</v>
      </c>
      <c r="K32" s="5" t="s">
        <v>1</v>
      </c>
      <c r="L32" s="5" t="s">
        <v>1</v>
      </c>
      <c r="M32" s="8">
        <v>1</v>
      </c>
      <c r="N32" s="9">
        <v>2.44</v>
      </c>
      <c r="O32" s="8">
        <v>145.47999999999999</v>
      </c>
    </row>
    <row r="33" spans="1:15" x14ac:dyDescent="0.25">
      <c r="B33" s="2" t="s">
        <v>1</v>
      </c>
    </row>
    <row r="34" spans="1:15" x14ac:dyDescent="0.25">
      <c r="B34" s="2" t="s">
        <v>122</v>
      </c>
    </row>
    <row r="35" spans="1:15" x14ac:dyDescent="0.25">
      <c r="B35" s="2" t="s">
        <v>1</v>
      </c>
    </row>
    <row r="36" spans="1:15" x14ac:dyDescent="0.25">
      <c r="A36" s="6" t="s">
        <v>4</v>
      </c>
      <c r="B36" s="6" t="s">
        <v>5</v>
      </c>
      <c r="C36" s="6" t="s">
        <v>6</v>
      </c>
      <c r="D36" s="6" t="s">
        <v>7</v>
      </c>
      <c r="E36" s="6" t="s">
        <v>8</v>
      </c>
      <c r="F36" s="6" t="s">
        <v>9</v>
      </c>
      <c r="G36" s="6" t="s">
        <v>10</v>
      </c>
      <c r="H36" s="6" t="s">
        <v>11</v>
      </c>
      <c r="I36" s="6" t="s">
        <v>12</v>
      </c>
      <c r="J36" s="6" t="s">
        <v>13</v>
      </c>
      <c r="K36" s="6" t="s">
        <v>14</v>
      </c>
      <c r="L36" s="6" t="s">
        <v>15</v>
      </c>
      <c r="M36" s="6" t="s">
        <v>16</v>
      </c>
      <c r="N36" s="6" t="s">
        <v>17</v>
      </c>
      <c r="O36" s="6" t="s">
        <v>18</v>
      </c>
    </row>
    <row r="37" spans="1:15" x14ac:dyDescent="0.25">
      <c r="A37" s="3" t="s">
        <v>19</v>
      </c>
      <c r="B37" s="3" t="s">
        <v>43</v>
      </c>
      <c r="C37" s="4">
        <v>45973</v>
      </c>
      <c r="D37" s="3" t="s">
        <v>21</v>
      </c>
      <c r="E37" s="3" t="s">
        <v>35</v>
      </c>
      <c r="F37" s="3" t="s">
        <v>97</v>
      </c>
      <c r="G37" s="3" t="s">
        <v>98</v>
      </c>
      <c r="H37" s="3" t="s">
        <v>123</v>
      </c>
      <c r="I37" s="3" t="s">
        <v>124</v>
      </c>
      <c r="J37" s="3" t="s">
        <v>125</v>
      </c>
      <c r="K37" s="3" t="s">
        <v>28</v>
      </c>
      <c r="L37" s="3" t="s">
        <v>29</v>
      </c>
      <c r="M37" s="8">
        <v>1</v>
      </c>
      <c r="N37" s="9">
        <v>2.02</v>
      </c>
      <c r="O37" s="8">
        <v>120.43</v>
      </c>
    </row>
    <row r="38" spans="1:15" x14ac:dyDescent="0.25">
      <c r="A38" s="3" t="s">
        <v>19</v>
      </c>
      <c r="B38" s="3" t="s">
        <v>43</v>
      </c>
      <c r="C38" s="4">
        <v>45987</v>
      </c>
      <c r="D38" s="3" t="s">
        <v>21</v>
      </c>
      <c r="E38" s="3" t="s">
        <v>35</v>
      </c>
      <c r="F38" s="3" t="s">
        <v>97</v>
      </c>
      <c r="G38" s="3" t="s">
        <v>98</v>
      </c>
      <c r="H38" s="3" t="s">
        <v>123</v>
      </c>
      <c r="I38" s="3" t="s">
        <v>126</v>
      </c>
      <c r="J38" s="3" t="s">
        <v>127</v>
      </c>
      <c r="K38" s="3" t="s">
        <v>28</v>
      </c>
      <c r="L38" s="3" t="s">
        <v>29</v>
      </c>
      <c r="M38" s="8">
        <v>1</v>
      </c>
      <c r="N38" s="9">
        <v>0.57999999999999996</v>
      </c>
      <c r="O38" s="8">
        <v>34.58</v>
      </c>
    </row>
    <row r="39" spans="1:15" x14ac:dyDescent="0.25">
      <c r="A39" s="10" t="s">
        <v>1</v>
      </c>
      <c r="B39" s="10" t="s">
        <v>128</v>
      </c>
      <c r="C39" s="10" t="s">
        <v>1</v>
      </c>
      <c r="D39" s="10" t="s">
        <v>1</v>
      </c>
      <c r="E39" s="10" t="s">
        <v>1</v>
      </c>
      <c r="F39" s="10" t="s">
        <v>1</v>
      </c>
      <c r="G39" s="10" t="s">
        <v>1</v>
      </c>
      <c r="H39" s="10" t="s">
        <v>1</v>
      </c>
      <c r="I39" s="10" t="s">
        <v>1</v>
      </c>
      <c r="J39" s="10" t="s">
        <v>1</v>
      </c>
      <c r="K39" s="10" t="s">
        <v>1</v>
      </c>
      <c r="L39" s="10" t="s">
        <v>1</v>
      </c>
      <c r="M39" s="11">
        <v>2</v>
      </c>
      <c r="N39" s="11">
        <v>2.6</v>
      </c>
      <c r="O39" s="11">
        <v>155.01</v>
      </c>
    </row>
    <row r="40" spans="1:15" x14ac:dyDescent="0.25">
      <c r="A40" s="5" t="s">
        <v>1</v>
      </c>
      <c r="B40" s="5" t="s">
        <v>110</v>
      </c>
      <c r="C40" s="5" t="s">
        <v>1</v>
      </c>
      <c r="D40" s="5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 t="s">
        <v>1</v>
      </c>
      <c r="M40" s="8">
        <v>2</v>
      </c>
      <c r="N40" s="9">
        <v>2.6</v>
      </c>
      <c r="O40" s="8">
        <v>155.01</v>
      </c>
    </row>
    <row r="41" spans="1:15" x14ac:dyDescent="0.25">
      <c r="A41" s="10" t="s">
        <v>1</v>
      </c>
      <c r="B41" s="10" t="s">
        <v>129</v>
      </c>
      <c r="C41" s="10" t="s">
        <v>1</v>
      </c>
      <c r="D41" s="10" t="s">
        <v>1</v>
      </c>
      <c r="E41" s="10" t="s">
        <v>1</v>
      </c>
      <c r="F41" s="10" t="s">
        <v>1</v>
      </c>
      <c r="G41" s="10" t="s">
        <v>1</v>
      </c>
      <c r="H41" s="10" t="s">
        <v>1</v>
      </c>
      <c r="I41" s="10" t="s">
        <v>1</v>
      </c>
      <c r="J41" s="10" t="s">
        <v>1</v>
      </c>
      <c r="K41" s="10" t="s">
        <v>1</v>
      </c>
      <c r="L41" s="10" t="s">
        <v>1</v>
      </c>
      <c r="M41" s="11">
        <v>8</v>
      </c>
      <c r="N41" s="11">
        <v>10.52</v>
      </c>
      <c r="O41" s="11">
        <v>1356.9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0"/>
  <sheetViews>
    <sheetView workbookViewId="0">
      <selection activeCell="N29" activeCellId="2" sqref="N15 N22 N29"/>
    </sheetView>
  </sheetViews>
  <sheetFormatPr baseColWidth="10" defaultColWidth="9.140625" defaultRowHeight="15" x14ac:dyDescent="0.25"/>
  <cols>
    <col min="1" max="1" width="23.5703125" bestFit="1" customWidth="1"/>
    <col min="2" max="2" width="73.5703125" bestFit="1" customWidth="1"/>
    <col min="3" max="3" width="9.28515625" bestFit="1" customWidth="1"/>
    <col min="4" max="4" width="6" bestFit="1" customWidth="1"/>
    <col min="5" max="5" width="6.28515625" bestFit="1" customWidth="1"/>
    <col min="6" max="6" width="34.710937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130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111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19</v>
      </c>
      <c r="B13" s="12" t="s">
        <v>20</v>
      </c>
      <c r="C13" s="7">
        <v>45962</v>
      </c>
      <c r="D13" s="12" t="s">
        <v>82</v>
      </c>
      <c r="E13" s="12" t="s">
        <v>22</v>
      </c>
      <c r="F13" s="12" t="s">
        <v>131</v>
      </c>
      <c r="G13" s="12" t="s">
        <v>98</v>
      </c>
      <c r="H13" s="12" t="s">
        <v>112</v>
      </c>
      <c r="I13" s="12" t="s">
        <v>132</v>
      </c>
      <c r="J13" s="12" t="s">
        <v>133</v>
      </c>
      <c r="K13" s="12" t="s">
        <v>28</v>
      </c>
      <c r="L13" s="12" t="s">
        <v>29</v>
      </c>
      <c r="M13" s="13">
        <v>1</v>
      </c>
      <c r="N13" s="13">
        <v>0.46</v>
      </c>
      <c r="O13" s="13">
        <v>107.87</v>
      </c>
    </row>
    <row r="14" spans="1:15" x14ac:dyDescent="0.25">
      <c r="A14" s="10" t="s">
        <v>1</v>
      </c>
      <c r="B14" s="10" t="s">
        <v>116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0.46</v>
      </c>
      <c r="O14" s="11">
        <v>107.87</v>
      </c>
    </row>
    <row r="15" spans="1:15" x14ac:dyDescent="0.25">
      <c r="A15" s="5" t="s">
        <v>1</v>
      </c>
      <c r="B15" s="5" t="s">
        <v>134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5" t="s">
        <v>1</v>
      </c>
      <c r="M15" s="8">
        <v>1</v>
      </c>
      <c r="N15" s="9">
        <v>0.46</v>
      </c>
      <c r="O15" s="8">
        <v>107.87</v>
      </c>
    </row>
    <row r="16" spans="1:15" x14ac:dyDescent="0.25">
      <c r="B16" s="2" t="s">
        <v>1</v>
      </c>
    </row>
    <row r="17" spans="1:15" x14ac:dyDescent="0.25">
      <c r="B17" s="2" t="s">
        <v>117</v>
      </c>
    </row>
    <row r="18" spans="1:15" x14ac:dyDescent="0.25">
      <c r="B18" s="2" t="s">
        <v>1</v>
      </c>
    </row>
    <row r="19" spans="1:15" x14ac:dyDescent="0.25">
      <c r="A19" s="6" t="s">
        <v>4</v>
      </c>
      <c r="B19" s="6" t="s">
        <v>5</v>
      </c>
      <c r="C19" s="6" t="s">
        <v>6</v>
      </c>
      <c r="D19" s="6" t="s">
        <v>7</v>
      </c>
      <c r="E19" s="6" t="s">
        <v>8</v>
      </c>
      <c r="F19" s="6" t="s">
        <v>9</v>
      </c>
      <c r="G19" s="6" t="s">
        <v>10</v>
      </c>
      <c r="H19" s="6" t="s">
        <v>11</v>
      </c>
      <c r="I19" s="6" t="s">
        <v>12</v>
      </c>
      <c r="J19" s="6" t="s">
        <v>13</v>
      </c>
      <c r="K19" s="6" t="s">
        <v>14</v>
      </c>
      <c r="L19" s="6" t="s">
        <v>15</v>
      </c>
      <c r="M19" s="6" t="s">
        <v>16</v>
      </c>
      <c r="N19" s="6" t="s">
        <v>17</v>
      </c>
      <c r="O19" s="6" t="s">
        <v>18</v>
      </c>
    </row>
    <row r="20" spans="1:15" x14ac:dyDescent="0.25">
      <c r="A20" s="12" t="s">
        <v>19</v>
      </c>
      <c r="B20" s="12" t="s">
        <v>74</v>
      </c>
      <c r="C20" s="7">
        <v>45962</v>
      </c>
      <c r="D20" s="12" t="s">
        <v>82</v>
      </c>
      <c r="E20" s="12" t="s">
        <v>22</v>
      </c>
      <c r="F20" s="12" t="s">
        <v>131</v>
      </c>
      <c r="G20" s="12" t="s">
        <v>98</v>
      </c>
      <c r="H20" s="12" t="s">
        <v>118</v>
      </c>
      <c r="I20" s="12" t="s">
        <v>135</v>
      </c>
      <c r="J20" s="12" t="s">
        <v>136</v>
      </c>
      <c r="K20" s="12" t="s">
        <v>51</v>
      </c>
      <c r="L20" s="12" t="s">
        <v>52</v>
      </c>
      <c r="M20" s="13">
        <v>1</v>
      </c>
      <c r="N20" s="13">
        <v>1.54</v>
      </c>
      <c r="O20" s="13">
        <v>113.24</v>
      </c>
    </row>
    <row r="21" spans="1:15" x14ac:dyDescent="0.25">
      <c r="A21" s="10" t="s">
        <v>1</v>
      </c>
      <c r="B21" s="10" t="s">
        <v>121</v>
      </c>
      <c r="C21" s="10" t="s">
        <v>1</v>
      </c>
      <c r="D21" s="10" t="s">
        <v>1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s">
        <v>1</v>
      </c>
      <c r="K21" s="10" t="s">
        <v>1</v>
      </c>
      <c r="L21" s="10" t="s">
        <v>1</v>
      </c>
      <c r="M21" s="11">
        <v>1</v>
      </c>
      <c r="N21" s="11">
        <v>1.54</v>
      </c>
      <c r="O21" s="11">
        <v>113.24</v>
      </c>
    </row>
    <row r="22" spans="1:15" x14ac:dyDescent="0.25">
      <c r="A22" s="5" t="s">
        <v>1</v>
      </c>
      <c r="B22" s="5" t="s">
        <v>134</v>
      </c>
      <c r="C22" s="5" t="s">
        <v>1</v>
      </c>
      <c r="D22" s="5" t="s">
        <v>1</v>
      </c>
      <c r="E22" s="5" t="s">
        <v>1</v>
      </c>
      <c r="F22" s="5" t="s">
        <v>1</v>
      </c>
      <c r="G22" s="5" t="s">
        <v>1</v>
      </c>
      <c r="H22" s="5" t="s">
        <v>1</v>
      </c>
      <c r="I22" s="5" t="s">
        <v>1</v>
      </c>
      <c r="J22" s="5" t="s">
        <v>1</v>
      </c>
      <c r="K22" s="5" t="s">
        <v>1</v>
      </c>
      <c r="L22" s="5" t="s">
        <v>1</v>
      </c>
      <c r="M22" s="8">
        <v>1</v>
      </c>
      <c r="N22" s="9">
        <v>1.54</v>
      </c>
      <c r="O22" s="8">
        <v>113.24</v>
      </c>
    </row>
    <row r="23" spans="1:15" x14ac:dyDescent="0.25">
      <c r="B23" s="2" t="s">
        <v>1</v>
      </c>
    </row>
    <row r="24" spans="1:15" x14ac:dyDescent="0.25">
      <c r="B24" s="2" t="s">
        <v>122</v>
      </c>
    </row>
    <row r="25" spans="1:15" x14ac:dyDescent="0.25">
      <c r="B25" s="2" t="s">
        <v>1</v>
      </c>
    </row>
    <row r="26" spans="1:15" x14ac:dyDescent="0.25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  <c r="M26" s="6" t="s">
        <v>16</v>
      </c>
      <c r="N26" s="6" t="s">
        <v>17</v>
      </c>
      <c r="O26" s="6" t="s">
        <v>18</v>
      </c>
    </row>
    <row r="27" spans="1:15" x14ac:dyDescent="0.25">
      <c r="A27" s="12" t="s">
        <v>19</v>
      </c>
      <c r="B27" s="12" t="s">
        <v>43</v>
      </c>
      <c r="C27" s="7">
        <v>45962</v>
      </c>
      <c r="D27" s="12" t="s">
        <v>82</v>
      </c>
      <c r="E27" s="12" t="s">
        <v>22</v>
      </c>
      <c r="F27" s="12" t="s">
        <v>131</v>
      </c>
      <c r="G27" s="12" t="s">
        <v>98</v>
      </c>
      <c r="H27" s="12" t="s">
        <v>123</v>
      </c>
      <c r="I27" s="12" t="s">
        <v>137</v>
      </c>
      <c r="J27" s="12" t="s">
        <v>138</v>
      </c>
      <c r="K27" s="12" t="s">
        <v>28</v>
      </c>
      <c r="L27" s="12" t="s">
        <v>29</v>
      </c>
      <c r="M27" s="13">
        <v>1</v>
      </c>
      <c r="N27" s="13">
        <v>3.5</v>
      </c>
      <c r="O27" s="13">
        <v>257.36</v>
      </c>
    </row>
    <row r="28" spans="1:15" x14ac:dyDescent="0.25">
      <c r="A28" s="10" t="s">
        <v>1</v>
      </c>
      <c r="B28" s="10" t="s">
        <v>128</v>
      </c>
      <c r="C28" s="10" t="s">
        <v>1</v>
      </c>
      <c r="D28" s="10" t="s">
        <v>1</v>
      </c>
      <c r="E28" s="10" t="s">
        <v>1</v>
      </c>
      <c r="F28" s="10" t="s">
        <v>1</v>
      </c>
      <c r="G28" s="10" t="s">
        <v>1</v>
      </c>
      <c r="H28" s="10" t="s">
        <v>1</v>
      </c>
      <c r="I28" s="10" t="s">
        <v>1</v>
      </c>
      <c r="J28" s="10" t="s">
        <v>1</v>
      </c>
      <c r="K28" s="10" t="s">
        <v>1</v>
      </c>
      <c r="L28" s="10" t="s">
        <v>1</v>
      </c>
      <c r="M28" s="11">
        <v>1</v>
      </c>
      <c r="N28" s="11">
        <v>3.5</v>
      </c>
      <c r="O28" s="11">
        <v>257.36</v>
      </c>
    </row>
    <row r="29" spans="1:15" x14ac:dyDescent="0.25">
      <c r="A29" s="5" t="s">
        <v>1</v>
      </c>
      <c r="B29" s="5" t="s">
        <v>134</v>
      </c>
      <c r="C29" s="5" t="s">
        <v>1</v>
      </c>
      <c r="D29" s="5" t="s">
        <v>1</v>
      </c>
      <c r="E29" s="5" t="s">
        <v>1</v>
      </c>
      <c r="F29" s="5" t="s">
        <v>1</v>
      </c>
      <c r="G29" s="5" t="s">
        <v>1</v>
      </c>
      <c r="H29" s="5" t="s">
        <v>1</v>
      </c>
      <c r="I29" s="5" t="s">
        <v>1</v>
      </c>
      <c r="J29" s="5" t="s">
        <v>1</v>
      </c>
      <c r="K29" s="5" t="s">
        <v>1</v>
      </c>
      <c r="L29" s="5" t="s">
        <v>1</v>
      </c>
      <c r="M29" s="8">
        <v>1</v>
      </c>
      <c r="N29" s="9">
        <v>3.5</v>
      </c>
      <c r="O29" s="8">
        <v>257.36</v>
      </c>
    </row>
    <row r="30" spans="1:15" x14ac:dyDescent="0.25">
      <c r="A30" s="10" t="s">
        <v>1</v>
      </c>
      <c r="B30" s="10" t="s">
        <v>139</v>
      </c>
      <c r="C30" s="10" t="s">
        <v>1</v>
      </c>
      <c r="D30" s="10" t="s">
        <v>1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1">
        <v>3</v>
      </c>
      <c r="N30" s="11">
        <v>5.5</v>
      </c>
      <c r="O30" s="11">
        <v>478.47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74"/>
  <sheetViews>
    <sheetView topLeftCell="A49" workbookViewId="0">
      <selection activeCell="B78" sqref="B78"/>
    </sheetView>
  </sheetViews>
  <sheetFormatPr baseColWidth="10" defaultColWidth="9.140625" defaultRowHeight="15" x14ac:dyDescent="0.25"/>
  <cols>
    <col min="1" max="1" width="23.5703125" bestFit="1" customWidth="1"/>
    <col min="2" max="2" width="66" bestFit="1" customWidth="1"/>
    <col min="3" max="3" width="9.28515625" bestFit="1" customWidth="1"/>
    <col min="4" max="4" width="6" bestFit="1" customWidth="1"/>
    <col min="5" max="5" width="7.5703125" bestFit="1" customWidth="1"/>
    <col min="6" max="6" width="28.710937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140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20</v>
      </c>
      <c r="C13" s="4">
        <v>45964</v>
      </c>
      <c r="D13" s="3" t="s">
        <v>21</v>
      </c>
      <c r="E13" s="3" t="s">
        <v>38</v>
      </c>
      <c r="F13" s="3" t="s">
        <v>141</v>
      </c>
      <c r="G13" s="3" t="s">
        <v>98</v>
      </c>
      <c r="H13" s="3" t="s">
        <v>25</v>
      </c>
      <c r="I13" s="3" t="s">
        <v>142</v>
      </c>
      <c r="J13" s="3" t="s">
        <v>143</v>
      </c>
      <c r="K13" s="3" t="s">
        <v>28</v>
      </c>
      <c r="L13" s="3" t="s">
        <v>29</v>
      </c>
      <c r="M13" s="8">
        <v>1</v>
      </c>
      <c r="N13" s="9">
        <v>4.5199999999999996</v>
      </c>
      <c r="O13" s="8">
        <v>233.56</v>
      </c>
    </row>
    <row r="14" spans="1:15" x14ac:dyDescent="0.25">
      <c r="A14" s="3" t="s">
        <v>19</v>
      </c>
      <c r="B14" s="3" t="s">
        <v>20</v>
      </c>
      <c r="C14" s="4">
        <v>45975</v>
      </c>
      <c r="D14" s="3" t="s">
        <v>21</v>
      </c>
      <c r="E14" s="3" t="s">
        <v>44</v>
      </c>
      <c r="F14" s="3" t="s">
        <v>141</v>
      </c>
      <c r="G14" s="3" t="s">
        <v>98</v>
      </c>
      <c r="H14" s="3" t="s">
        <v>25</v>
      </c>
      <c r="I14" s="3" t="s">
        <v>144</v>
      </c>
      <c r="J14" s="3" t="s">
        <v>145</v>
      </c>
      <c r="K14" s="3" t="s">
        <v>115</v>
      </c>
      <c r="L14" s="3" t="s">
        <v>34</v>
      </c>
      <c r="M14" s="8">
        <v>1</v>
      </c>
      <c r="N14" s="9">
        <v>3.98</v>
      </c>
      <c r="O14" s="8">
        <v>205.65</v>
      </c>
    </row>
    <row r="15" spans="1:15" x14ac:dyDescent="0.25">
      <c r="A15" s="3" t="s">
        <v>19</v>
      </c>
      <c r="B15" s="3" t="s">
        <v>20</v>
      </c>
      <c r="C15" s="4">
        <v>45980</v>
      </c>
      <c r="D15" s="3" t="s">
        <v>21</v>
      </c>
      <c r="E15" s="3" t="s">
        <v>35</v>
      </c>
      <c r="F15" s="3" t="s">
        <v>141</v>
      </c>
      <c r="G15" s="3" t="s">
        <v>98</v>
      </c>
      <c r="H15" s="3" t="s">
        <v>25</v>
      </c>
      <c r="I15" s="3" t="s">
        <v>146</v>
      </c>
      <c r="J15" s="3" t="s">
        <v>147</v>
      </c>
      <c r="K15" s="3" t="s">
        <v>28</v>
      </c>
      <c r="L15" s="3" t="s">
        <v>29</v>
      </c>
      <c r="M15" s="8">
        <v>1</v>
      </c>
      <c r="N15" s="9">
        <v>4.16</v>
      </c>
      <c r="O15" s="8">
        <v>214.95</v>
      </c>
    </row>
    <row r="16" spans="1:15" x14ac:dyDescent="0.25">
      <c r="A16" s="3" t="s">
        <v>19</v>
      </c>
      <c r="B16" s="3" t="s">
        <v>20</v>
      </c>
      <c r="C16" s="4">
        <v>45983</v>
      </c>
      <c r="D16" s="3" t="s">
        <v>21</v>
      </c>
      <c r="E16" s="3" t="s">
        <v>22</v>
      </c>
      <c r="F16" s="3" t="s">
        <v>141</v>
      </c>
      <c r="G16" s="3" t="s">
        <v>98</v>
      </c>
      <c r="H16" s="3" t="s">
        <v>25</v>
      </c>
      <c r="I16" s="3" t="s">
        <v>148</v>
      </c>
      <c r="J16" s="3" t="s">
        <v>149</v>
      </c>
      <c r="K16" s="3" t="s">
        <v>28</v>
      </c>
      <c r="L16" s="3" t="s">
        <v>29</v>
      </c>
      <c r="M16" s="8">
        <v>1</v>
      </c>
      <c r="N16" s="9">
        <v>3.58</v>
      </c>
      <c r="O16" s="8">
        <v>184.98</v>
      </c>
    </row>
    <row r="17" spans="1:15" x14ac:dyDescent="0.25">
      <c r="A17" s="3" t="s">
        <v>19</v>
      </c>
      <c r="B17" s="3" t="s">
        <v>20</v>
      </c>
      <c r="C17" s="4">
        <v>45987</v>
      </c>
      <c r="D17" s="3" t="s">
        <v>21</v>
      </c>
      <c r="E17" s="3" t="s">
        <v>35</v>
      </c>
      <c r="F17" s="3" t="s">
        <v>141</v>
      </c>
      <c r="G17" s="3" t="s">
        <v>98</v>
      </c>
      <c r="H17" s="3" t="s">
        <v>25</v>
      </c>
      <c r="I17" s="3" t="s">
        <v>150</v>
      </c>
      <c r="J17" s="3" t="s">
        <v>151</v>
      </c>
      <c r="K17" s="3" t="s">
        <v>67</v>
      </c>
      <c r="L17" s="3" t="s">
        <v>47</v>
      </c>
      <c r="M17" s="8">
        <v>1</v>
      </c>
      <c r="N17" s="9">
        <v>4.78</v>
      </c>
      <c r="O17" s="8">
        <v>246.99</v>
      </c>
    </row>
    <row r="18" spans="1:15" x14ac:dyDescent="0.25">
      <c r="A18" s="3" t="s">
        <v>19</v>
      </c>
      <c r="B18" s="3" t="s">
        <v>20</v>
      </c>
      <c r="C18" s="4">
        <v>45990</v>
      </c>
      <c r="D18" s="3" t="s">
        <v>21</v>
      </c>
      <c r="E18" s="3" t="s">
        <v>22</v>
      </c>
      <c r="F18" s="3" t="s">
        <v>141</v>
      </c>
      <c r="G18" s="3" t="s">
        <v>98</v>
      </c>
      <c r="H18" s="3" t="s">
        <v>25</v>
      </c>
      <c r="I18" s="3" t="s">
        <v>152</v>
      </c>
      <c r="J18" s="3" t="s">
        <v>153</v>
      </c>
      <c r="K18" s="3" t="s">
        <v>28</v>
      </c>
      <c r="L18" s="3" t="s">
        <v>29</v>
      </c>
      <c r="M18" s="8">
        <v>1</v>
      </c>
      <c r="N18" s="9">
        <v>4.54</v>
      </c>
      <c r="O18" s="8">
        <v>234.59</v>
      </c>
    </row>
    <row r="19" spans="1:15" x14ac:dyDescent="0.25">
      <c r="A19" s="10" t="s">
        <v>1</v>
      </c>
      <c r="B19" s="10" t="s">
        <v>41</v>
      </c>
      <c r="C19" s="10" t="s">
        <v>1</v>
      </c>
      <c r="D19" s="10" t="s">
        <v>1</v>
      </c>
      <c r="E19" s="10" t="s">
        <v>1</v>
      </c>
      <c r="F19" s="10" t="s">
        <v>1</v>
      </c>
      <c r="G19" s="10" t="s">
        <v>1</v>
      </c>
      <c r="H19" s="10" t="s">
        <v>1</v>
      </c>
      <c r="I19" s="10" t="s">
        <v>1</v>
      </c>
      <c r="J19" s="10" t="s">
        <v>1</v>
      </c>
      <c r="K19" s="10" t="s">
        <v>1</v>
      </c>
      <c r="L19" s="10" t="s">
        <v>1</v>
      </c>
      <c r="M19" s="11">
        <v>6</v>
      </c>
      <c r="N19" s="11">
        <v>25.56</v>
      </c>
      <c r="O19" s="11">
        <v>1320.73</v>
      </c>
    </row>
    <row r="20" spans="1:15" x14ac:dyDescent="0.25">
      <c r="B20" s="2" t="s">
        <v>1</v>
      </c>
    </row>
    <row r="21" spans="1:15" x14ac:dyDescent="0.25">
      <c r="B21" s="2" t="s">
        <v>192</v>
      </c>
    </row>
    <row r="22" spans="1:15" x14ac:dyDescent="0.25">
      <c r="B22" s="2" t="s">
        <v>1</v>
      </c>
    </row>
    <row r="23" spans="1:15" x14ac:dyDescent="0.25">
      <c r="A23" s="6" t="s">
        <v>4</v>
      </c>
      <c r="B23" s="6" t="s">
        <v>5</v>
      </c>
      <c r="C23" s="6" t="s">
        <v>6</v>
      </c>
      <c r="D23" s="6" t="s">
        <v>7</v>
      </c>
      <c r="E23" s="6" t="s">
        <v>8</v>
      </c>
      <c r="F23" s="6" t="s">
        <v>9</v>
      </c>
      <c r="G23" s="6" t="s">
        <v>10</v>
      </c>
      <c r="H23" s="6" t="s">
        <v>11</v>
      </c>
      <c r="I23" s="6" t="s">
        <v>12</v>
      </c>
      <c r="J23" s="6" t="s">
        <v>13</v>
      </c>
      <c r="K23" s="6" t="s">
        <v>14</v>
      </c>
      <c r="L23" s="6" t="s">
        <v>15</v>
      </c>
      <c r="M23" s="6" t="s">
        <v>16</v>
      </c>
      <c r="N23" s="6" t="s">
        <v>17</v>
      </c>
      <c r="O23" s="6" t="s">
        <v>18</v>
      </c>
    </row>
    <row r="24" spans="1:15" x14ac:dyDescent="0.25">
      <c r="A24" s="3" t="s">
        <v>19</v>
      </c>
      <c r="B24" s="3" t="s">
        <v>43</v>
      </c>
      <c r="C24" s="4">
        <v>45968</v>
      </c>
      <c r="D24" s="3" t="s">
        <v>21</v>
      </c>
      <c r="E24" s="3" t="s">
        <v>44</v>
      </c>
      <c r="F24" s="3" t="s">
        <v>141</v>
      </c>
      <c r="G24" s="3" t="s">
        <v>98</v>
      </c>
      <c r="H24" s="3" t="s">
        <v>118</v>
      </c>
      <c r="I24" s="3" t="s">
        <v>193</v>
      </c>
      <c r="J24" s="3" t="s">
        <v>194</v>
      </c>
      <c r="K24" s="3" t="s">
        <v>33</v>
      </c>
      <c r="L24" s="3" t="s">
        <v>47</v>
      </c>
      <c r="M24" s="8">
        <v>1</v>
      </c>
      <c r="N24" s="9">
        <v>6.2</v>
      </c>
      <c r="O24" s="8">
        <v>178.7</v>
      </c>
    </row>
    <row r="25" spans="1:15" x14ac:dyDescent="0.25">
      <c r="A25" s="3" t="s">
        <v>19</v>
      </c>
      <c r="B25" s="3" t="s">
        <v>43</v>
      </c>
      <c r="C25" s="4">
        <v>45973</v>
      </c>
      <c r="D25" s="3" t="s">
        <v>21</v>
      </c>
      <c r="E25" s="3" t="s">
        <v>35</v>
      </c>
      <c r="F25" s="3" t="s">
        <v>141</v>
      </c>
      <c r="G25" s="3" t="s">
        <v>98</v>
      </c>
      <c r="H25" s="3" t="s">
        <v>118</v>
      </c>
      <c r="I25" s="3" t="s">
        <v>195</v>
      </c>
      <c r="J25" s="3" t="s">
        <v>196</v>
      </c>
      <c r="K25" s="3" t="s">
        <v>28</v>
      </c>
      <c r="L25" s="3" t="s">
        <v>29</v>
      </c>
      <c r="M25" s="8">
        <v>1</v>
      </c>
      <c r="N25" s="9">
        <v>3.64</v>
      </c>
      <c r="O25" s="8">
        <v>104.91</v>
      </c>
    </row>
    <row r="26" spans="1:15" x14ac:dyDescent="0.25">
      <c r="A26" s="3" t="s">
        <v>19</v>
      </c>
      <c r="B26" s="3" t="s">
        <v>43</v>
      </c>
      <c r="C26" s="4">
        <v>45976</v>
      </c>
      <c r="D26" s="3" t="s">
        <v>21</v>
      </c>
      <c r="E26" s="3" t="s">
        <v>22</v>
      </c>
      <c r="F26" s="3" t="s">
        <v>141</v>
      </c>
      <c r="G26" s="3" t="s">
        <v>98</v>
      </c>
      <c r="H26" s="3" t="s">
        <v>118</v>
      </c>
      <c r="I26" s="3" t="s">
        <v>197</v>
      </c>
      <c r="J26" s="3" t="s">
        <v>198</v>
      </c>
      <c r="K26" s="3" t="s">
        <v>28</v>
      </c>
      <c r="L26" s="3" t="s">
        <v>29</v>
      </c>
      <c r="M26" s="8">
        <v>1</v>
      </c>
      <c r="N26" s="9">
        <v>6.08</v>
      </c>
      <c r="O26" s="8">
        <v>175.24</v>
      </c>
    </row>
    <row r="27" spans="1:15" x14ac:dyDescent="0.25">
      <c r="A27" s="3" t="s">
        <v>19</v>
      </c>
      <c r="B27" s="3" t="s">
        <v>43</v>
      </c>
      <c r="C27" s="4">
        <v>45982</v>
      </c>
      <c r="D27" s="3" t="s">
        <v>21</v>
      </c>
      <c r="E27" s="3" t="s">
        <v>44</v>
      </c>
      <c r="F27" s="3" t="s">
        <v>141</v>
      </c>
      <c r="G27" s="3" t="s">
        <v>98</v>
      </c>
      <c r="H27" s="3" t="s">
        <v>118</v>
      </c>
      <c r="I27" s="3" t="s">
        <v>199</v>
      </c>
      <c r="J27" s="3" t="s">
        <v>200</v>
      </c>
      <c r="K27" s="3" t="s">
        <v>201</v>
      </c>
      <c r="L27" s="3" t="s">
        <v>202</v>
      </c>
      <c r="M27" s="8">
        <v>1</v>
      </c>
      <c r="N27" s="9">
        <v>4.7</v>
      </c>
      <c r="O27" s="8">
        <v>135.46</v>
      </c>
    </row>
    <row r="28" spans="1:15" x14ac:dyDescent="0.25">
      <c r="A28" s="3" t="s">
        <v>19</v>
      </c>
      <c r="B28" s="3" t="s">
        <v>43</v>
      </c>
      <c r="C28" s="4">
        <v>45983</v>
      </c>
      <c r="D28" s="3" t="s">
        <v>21</v>
      </c>
      <c r="E28" s="3" t="s">
        <v>22</v>
      </c>
      <c r="F28" s="3" t="s">
        <v>141</v>
      </c>
      <c r="G28" s="3" t="s">
        <v>98</v>
      </c>
      <c r="H28" s="3" t="s">
        <v>118</v>
      </c>
      <c r="I28" s="3" t="s">
        <v>203</v>
      </c>
      <c r="J28" s="3" t="s">
        <v>204</v>
      </c>
      <c r="K28" s="3" t="s">
        <v>28</v>
      </c>
      <c r="L28" s="3" t="s">
        <v>29</v>
      </c>
      <c r="M28" s="8">
        <v>1</v>
      </c>
      <c r="N28" s="9">
        <v>1.88</v>
      </c>
      <c r="O28" s="8">
        <v>54.18</v>
      </c>
    </row>
    <row r="29" spans="1:15" x14ac:dyDescent="0.25">
      <c r="A29" s="10" t="s">
        <v>1</v>
      </c>
      <c r="B29" s="10" t="s">
        <v>205</v>
      </c>
      <c r="C29" s="10" t="s">
        <v>1</v>
      </c>
      <c r="D29" s="10" t="s">
        <v>1</v>
      </c>
      <c r="E29" s="10" t="s">
        <v>1</v>
      </c>
      <c r="F29" s="10" t="s">
        <v>1</v>
      </c>
      <c r="G29" s="10" t="s">
        <v>1</v>
      </c>
      <c r="H29" s="10" t="s">
        <v>1</v>
      </c>
      <c r="I29" s="10" t="s">
        <v>1</v>
      </c>
      <c r="J29" s="10" t="s">
        <v>1</v>
      </c>
      <c r="K29" s="10" t="s">
        <v>1</v>
      </c>
      <c r="L29" s="10" t="s">
        <v>1</v>
      </c>
      <c r="M29" s="11">
        <v>5</v>
      </c>
      <c r="N29" s="11">
        <v>22.5</v>
      </c>
      <c r="O29" s="11">
        <v>648.49</v>
      </c>
    </row>
    <row r="30" spans="1:15" x14ac:dyDescent="0.25">
      <c r="B30" s="2" t="s">
        <v>1</v>
      </c>
    </row>
    <row r="31" spans="1:15" x14ac:dyDescent="0.25">
      <c r="B31" s="2" t="s">
        <v>122</v>
      </c>
    </row>
    <row r="32" spans="1:15" x14ac:dyDescent="0.25">
      <c r="B32" s="2" t="s">
        <v>1</v>
      </c>
    </row>
    <row r="33" spans="1:15" x14ac:dyDescent="0.25">
      <c r="A33" s="6" t="s">
        <v>4</v>
      </c>
      <c r="B33" s="6" t="s">
        <v>5</v>
      </c>
      <c r="C33" s="6" t="s">
        <v>6</v>
      </c>
      <c r="D33" s="6" t="s">
        <v>7</v>
      </c>
      <c r="E33" s="6" t="s">
        <v>8</v>
      </c>
      <c r="F33" s="6" t="s">
        <v>9</v>
      </c>
      <c r="G33" s="6" t="s">
        <v>10</v>
      </c>
      <c r="H33" s="6" t="s">
        <v>11</v>
      </c>
      <c r="I33" s="6" t="s">
        <v>12</v>
      </c>
      <c r="J33" s="6" t="s">
        <v>13</v>
      </c>
      <c r="K33" s="6" t="s">
        <v>14</v>
      </c>
      <c r="L33" s="6" t="s">
        <v>15</v>
      </c>
      <c r="M33" s="6" t="s">
        <v>16</v>
      </c>
      <c r="N33" s="6" t="s">
        <v>17</v>
      </c>
      <c r="O33" s="6" t="s">
        <v>18</v>
      </c>
    </row>
    <row r="34" spans="1:15" x14ac:dyDescent="0.25">
      <c r="A34" s="3" t="s">
        <v>19</v>
      </c>
      <c r="B34" s="3" t="s">
        <v>43</v>
      </c>
      <c r="C34" s="4">
        <v>45978</v>
      </c>
      <c r="D34" s="3" t="s">
        <v>21</v>
      </c>
      <c r="E34" s="3" t="s">
        <v>38</v>
      </c>
      <c r="F34" s="3" t="s">
        <v>141</v>
      </c>
      <c r="G34" s="3" t="s">
        <v>98</v>
      </c>
      <c r="H34" s="3" t="s">
        <v>123</v>
      </c>
      <c r="I34" s="3" t="s">
        <v>214</v>
      </c>
      <c r="J34" s="3" t="s">
        <v>215</v>
      </c>
      <c r="K34" s="3" t="s">
        <v>28</v>
      </c>
      <c r="L34" s="3" t="s">
        <v>29</v>
      </c>
      <c r="M34" s="8">
        <v>1</v>
      </c>
      <c r="N34" s="9">
        <v>4.3</v>
      </c>
      <c r="O34" s="8">
        <v>123.93</v>
      </c>
    </row>
    <row r="35" spans="1:15" x14ac:dyDescent="0.25">
      <c r="A35" s="3" t="s">
        <v>19</v>
      </c>
      <c r="B35" s="3" t="s">
        <v>43</v>
      </c>
      <c r="C35" s="4">
        <v>45986</v>
      </c>
      <c r="D35" s="3" t="s">
        <v>21</v>
      </c>
      <c r="E35" s="3" t="s">
        <v>58</v>
      </c>
      <c r="F35" s="3" t="s">
        <v>141</v>
      </c>
      <c r="G35" s="3" t="s">
        <v>98</v>
      </c>
      <c r="H35" s="3" t="s">
        <v>123</v>
      </c>
      <c r="I35" s="3" t="s">
        <v>216</v>
      </c>
      <c r="J35" s="3" t="s">
        <v>217</v>
      </c>
      <c r="K35" s="3" t="s">
        <v>28</v>
      </c>
      <c r="L35" s="3" t="s">
        <v>29</v>
      </c>
      <c r="M35" s="8">
        <v>1</v>
      </c>
      <c r="N35" s="9">
        <v>5</v>
      </c>
      <c r="O35" s="8">
        <v>144.11000000000001</v>
      </c>
    </row>
    <row r="36" spans="1:15" x14ac:dyDescent="0.25">
      <c r="A36" s="10" t="s">
        <v>1</v>
      </c>
      <c r="B36" s="10" t="s">
        <v>128</v>
      </c>
      <c r="C36" s="10" t="s">
        <v>1</v>
      </c>
      <c r="D36" s="10" t="s">
        <v>1</v>
      </c>
      <c r="E36" s="10" t="s">
        <v>1</v>
      </c>
      <c r="F36" s="10" t="s">
        <v>1</v>
      </c>
      <c r="G36" s="10" t="s">
        <v>1</v>
      </c>
      <c r="H36" s="10" t="s">
        <v>1</v>
      </c>
      <c r="I36" s="10" t="s">
        <v>1</v>
      </c>
      <c r="J36" s="10" t="s">
        <v>1</v>
      </c>
      <c r="K36" s="10" t="s">
        <v>1</v>
      </c>
      <c r="L36" s="10" t="s">
        <v>1</v>
      </c>
      <c r="M36" s="11">
        <v>2</v>
      </c>
      <c r="N36" s="11">
        <v>9.3000000000000007</v>
      </c>
      <c r="O36" s="11">
        <v>268.04000000000002</v>
      </c>
    </row>
    <row r="37" spans="1:15" x14ac:dyDescent="0.25">
      <c r="B37" s="2" t="s">
        <v>1</v>
      </c>
    </row>
    <row r="38" spans="1:15" x14ac:dyDescent="0.25">
      <c r="B38" s="2" t="s">
        <v>42</v>
      </c>
    </row>
    <row r="39" spans="1:15" x14ac:dyDescent="0.25">
      <c r="B39" s="2" t="s">
        <v>1</v>
      </c>
    </row>
    <row r="40" spans="1:15" x14ac:dyDescent="0.25">
      <c r="A40" s="6" t="s">
        <v>4</v>
      </c>
      <c r="B40" s="6" t="s">
        <v>5</v>
      </c>
      <c r="C40" s="6" t="s">
        <v>6</v>
      </c>
      <c r="D40" s="6" t="s">
        <v>7</v>
      </c>
      <c r="E40" s="6" t="s">
        <v>8</v>
      </c>
      <c r="F40" s="6" t="s">
        <v>9</v>
      </c>
      <c r="G40" s="6" t="s">
        <v>10</v>
      </c>
      <c r="H40" s="6" t="s">
        <v>11</v>
      </c>
      <c r="I40" s="6" t="s">
        <v>12</v>
      </c>
      <c r="J40" s="6" t="s">
        <v>13</v>
      </c>
      <c r="K40" s="6" t="s">
        <v>14</v>
      </c>
      <c r="L40" s="6" t="s">
        <v>15</v>
      </c>
      <c r="M40" s="6" t="s">
        <v>16</v>
      </c>
      <c r="N40" s="6" t="s">
        <v>17</v>
      </c>
      <c r="O40" s="6" t="s">
        <v>18</v>
      </c>
    </row>
    <row r="41" spans="1:15" x14ac:dyDescent="0.25">
      <c r="A41" s="3" t="s">
        <v>19</v>
      </c>
      <c r="B41" s="3" t="s">
        <v>43</v>
      </c>
      <c r="C41" s="4">
        <v>45976</v>
      </c>
      <c r="D41" s="3" t="s">
        <v>21</v>
      </c>
      <c r="E41" s="3" t="s">
        <v>22</v>
      </c>
      <c r="F41" s="3" t="s">
        <v>141</v>
      </c>
      <c r="G41" s="3" t="s">
        <v>98</v>
      </c>
      <c r="H41" s="3" t="s">
        <v>25</v>
      </c>
      <c r="I41" s="3" t="s">
        <v>154</v>
      </c>
      <c r="J41" s="3" t="s">
        <v>155</v>
      </c>
      <c r="K41" s="3" t="s">
        <v>28</v>
      </c>
      <c r="L41" s="3" t="s">
        <v>29</v>
      </c>
      <c r="M41" s="8">
        <v>1</v>
      </c>
      <c r="N41" s="9">
        <v>5.28</v>
      </c>
      <c r="O41" s="8">
        <v>272.83</v>
      </c>
    </row>
    <row r="42" spans="1:15" x14ac:dyDescent="0.25">
      <c r="A42" s="3" t="s">
        <v>19</v>
      </c>
      <c r="B42" s="3" t="s">
        <v>43</v>
      </c>
      <c r="C42" s="4">
        <v>45987</v>
      </c>
      <c r="D42" s="3" t="s">
        <v>21</v>
      </c>
      <c r="E42" s="3" t="s">
        <v>35</v>
      </c>
      <c r="F42" s="3" t="s">
        <v>141</v>
      </c>
      <c r="G42" s="3" t="s">
        <v>98</v>
      </c>
      <c r="H42" s="3" t="s">
        <v>25</v>
      </c>
      <c r="I42" s="3" t="s">
        <v>156</v>
      </c>
      <c r="J42" s="3" t="s">
        <v>157</v>
      </c>
      <c r="K42" s="3" t="s">
        <v>28</v>
      </c>
      <c r="L42" s="3" t="s">
        <v>29</v>
      </c>
      <c r="M42" s="8">
        <v>1</v>
      </c>
      <c r="N42" s="9">
        <v>5.54</v>
      </c>
      <c r="O42" s="8">
        <v>286.26</v>
      </c>
    </row>
    <row r="43" spans="1:15" x14ac:dyDescent="0.25">
      <c r="A43" s="10" t="s">
        <v>1</v>
      </c>
      <c r="B43" s="10" t="s">
        <v>55</v>
      </c>
      <c r="C43" s="10" t="s">
        <v>1</v>
      </c>
      <c r="D43" s="10" t="s">
        <v>1</v>
      </c>
      <c r="E43" s="10" t="s">
        <v>1</v>
      </c>
      <c r="F43" s="10" t="s">
        <v>1</v>
      </c>
      <c r="G43" s="10" t="s">
        <v>1</v>
      </c>
      <c r="H43" s="10" t="s">
        <v>1</v>
      </c>
      <c r="I43" s="10" t="s">
        <v>1</v>
      </c>
      <c r="J43" s="10" t="s">
        <v>1</v>
      </c>
      <c r="K43" s="10" t="s">
        <v>1</v>
      </c>
      <c r="L43" s="10" t="s">
        <v>1</v>
      </c>
      <c r="M43" s="11">
        <v>2</v>
      </c>
      <c r="N43" s="11">
        <v>10.82</v>
      </c>
      <c r="O43" s="11">
        <v>559.09</v>
      </c>
    </row>
    <row r="44" spans="1:15" x14ac:dyDescent="0.25">
      <c r="B44" s="2" t="s">
        <v>1</v>
      </c>
    </row>
    <row r="45" spans="1:15" x14ac:dyDescent="0.25">
      <c r="B45" s="2" t="s">
        <v>56</v>
      </c>
    </row>
    <row r="46" spans="1:15" x14ac:dyDescent="0.25">
      <c r="B46" s="2" t="s">
        <v>1</v>
      </c>
    </row>
    <row r="47" spans="1:15" x14ac:dyDescent="0.25">
      <c r="A47" s="6" t="s">
        <v>4</v>
      </c>
      <c r="B47" s="6" t="s">
        <v>5</v>
      </c>
      <c r="C47" s="6" t="s">
        <v>6</v>
      </c>
      <c r="D47" s="6" t="s">
        <v>7</v>
      </c>
      <c r="E47" s="6" t="s">
        <v>8</v>
      </c>
      <c r="F47" s="6" t="s">
        <v>9</v>
      </c>
      <c r="G47" s="6" t="s">
        <v>10</v>
      </c>
      <c r="H47" s="6" t="s">
        <v>11</v>
      </c>
      <c r="I47" s="6" t="s">
        <v>12</v>
      </c>
      <c r="J47" s="6" t="s">
        <v>13</v>
      </c>
      <c r="K47" s="6" t="s">
        <v>14</v>
      </c>
      <c r="L47" s="6" t="s">
        <v>15</v>
      </c>
      <c r="M47" s="6" t="s">
        <v>16</v>
      </c>
      <c r="N47" s="6" t="s">
        <v>17</v>
      </c>
      <c r="O47" s="6" t="s">
        <v>18</v>
      </c>
    </row>
    <row r="48" spans="1:15" x14ac:dyDescent="0.25">
      <c r="A48" s="3" t="s">
        <v>19</v>
      </c>
      <c r="B48" s="3" t="s">
        <v>57</v>
      </c>
      <c r="C48" s="4">
        <v>45965</v>
      </c>
      <c r="D48" s="3" t="s">
        <v>21</v>
      </c>
      <c r="E48" s="3" t="s">
        <v>58</v>
      </c>
      <c r="F48" s="3" t="s">
        <v>141</v>
      </c>
      <c r="G48" s="3" t="s">
        <v>98</v>
      </c>
      <c r="H48" s="3" t="s">
        <v>25</v>
      </c>
      <c r="I48" s="3" t="s">
        <v>158</v>
      </c>
      <c r="J48" s="3" t="s">
        <v>159</v>
      </c>
      <c r="K48" s="3" t="s">
        <v>62</v>
      </c>
      <c r="L48" s="3" t="s">
        <v>63</v>
      </c>
      <c r="M48" s="8">
        <v>1</v>
      </c>
      <c r="N48" s="9">
        <v>5.54</v>
      </c>
      <c r="O48" s="8">
        <v>286.26</v>
      </c>
    </row>
    <row r="49" spans="1:15" x14ac:dyDescent="0.25">
      <c r="A49" s="3" t="s">
        <v>19</v>
      </c>
      <c r="B49" s="3" t="s">
        <v>57</v>
      </c>
      <c r="C49" s="4">
        <v>45966</v>
      </c>
      <c r="D49" s="3" t="s">
        <v>21</v>
      </c>
      <c r="E49" s="3" t="s">
        <v>35</v>
      </c>
      <c r="F49" s="3" t="s">
        <v>141</v>
      </c>
      <c r="G49" s="3" t="s">
        <v>98</v>
      </c>
      <c r="H49" s="3" t="s">
        <v>25</v>
      </c>
      <c r="I49" s="3" t="s">
        <v>160</v>
      </c>
      <c r="J49" s="3" t="s">
        <v>161</v>
      </c>
      <c r="K49" s="3" t="s">
        <v>62</v>
      </c>
      <c r="L49" s="3" t="s">
        <v>65</v>
      </c>
      <c r="M49" s="8">
        <v>1</v>
      </c>
      <c r="N49" s="9">
        <v>6.34</v>
      </c>
      <c r="O49" s="8">
        <v>327.60000000000002</v>
      </c>
    </row>
    <row r="50" spans="1:15" x14ac:dyDescent="0.25">
      <c r="A50" s="3" t="s">
        <v>19</v>
      </c>
      <c r="B50" s="3" t="s">
        <v>57</v>
      </c>
      <c r="C50" s="4">
        <v>45966</v>
      </c>
      <c r="D50" s="3" t="s">
        <v>21</v>
      </c>
      <c r="E50" s="3" t="s">
        <v>35</v>
      </c>
      <c r="F50" s="3" t="s">
        <v>141</v>
      </c>
      <c r="G50" s="3" t="s">
        <v>98</v>
      </c>
      <c r="H50" s="3" t="s">
        <v>25</v>
      </c>
      <c r="I50" s="3" t="s">
        <v>162</v>
      </c>
      <c r="J50" s="3" t="s">
        <v>163</v>
      </c>
      <c r="K50" s="3" t="s">
        <v>62</v>
      </c>
      <c r="L50" s="3" t="s">
        <v>65</v>
      </c>
      <c r="M50" s="8">
        <v>1</v>
      </c>
      <c r="N50" s="9">
        <v>6.08</v>
      </c>
      <c r="O50" s="8">
        <v>314.16000000000003</v>
      </c>
    </row>
    <row r="51" spans="1:15" x14ac:dyDescent="0.25">
      <c r="A51" s="3" t="s">
        <v>19</v>
      </c>
      <c r="B51" s="3" t="s">
        <v>57</v>
      </c>
      <c r="C51" s="4">
        <v>45968</v>
      </c>
      <c r="D51" s="3" t="s">
        <v>21</v>
      </c>
      <c r="E51" s="3" t="s">
        <v>44</v>
      </c>
      <c r="F51" s="3" t="s">
        <v>141</v>
      </c>
      <c r="G51" s="3" t="s">
        <v>98</v>
      </c>
      <c r="H51" s="3" t="s">
        <v>25</v>
      </c>
      <c r="I51" s="3" t="s">
        <v>164</v>
      </c>
      <c r="J51" s="3" t="s">
        <v>165</v>
      </c>
      <c r="K51" s="3" t="s">
        <v>62</v>
      </c>
      <c r="L51" s="3" t="s">
        <v>65</v>
      </c>
      <c r="M51" s="8">
        <v>1</v>
      </c>
      <c r="N51" s="9">
        <v>4.16</v>
      </c>
      <c r="O51" s="8">
        <v>214.95</v>
      </c>
    </row>
    <row r="52" spans="1:15" x14ac:dyDescent="0.25">
      <c r="A52" s="3" t="s">
        <v>19</v>
      </c>
      <c r="B52" s="3" t="s">
        <v>57</v>
      </c>
      <c r="C52" s="4">
        <v>45968</v>
      </c>
      <c r="D52" s="3" t="s">
        <v>21</v>
      </c>
      <c r="E52" s="3" t="s">
        <v>44</v>
      </c>
      <c r="F52" s="3" t="s">
        <v>141</v>
      </c>
      <c r="G52" s="3" t="s">
        <v>98</v>
      </c>
      <c r="H52" s="3" t="s">
        <v>25</v>
      </c>
      <c r="I52" s="3" t="s">
        <v>166</v>
      </c>
      <c r="J52" s="3" t="s">
        <v>167</v>
      </c>
      <c r="K52" s="3" t="s">
        <v>33</v>
      </c>
      <c r="L52" s="3" t="s">
        <v>47</v>
      </c>
      <c r="M52" s="8">
        <v>1</v>
      </c>
      <c r="N52" s="9">
        <v>5.08</v>
      </c>
      <c r="O52" s="8">
        <v>262.49</v>
      </c>
    </row>
    <row r="53" spans="1:15" x14ac:dyDescent="0.25">
      <c r="A53" s="3" t="s">
        <v>19</v>
      </c>
      <c r="B53" s="3" t="s">
        <v>57</v>
      </c>
      <c r="C53" s="4">
        <v>45973</v>
      </c>
      <c r="D53" s="3" t="s">
        <v>21</v>
      </c>
      <c r="E53" s="3" t="s">
        <v>35</v>
      </c>
      <c r="F53" s="3" t="s">
        <v>141</v>
      </c>
      <c r="G53" s="3" t="s">
        <v>98</v>
      </c>
      <c r="H53" s="3" t="s">
        <v>25</v>
      </c>
      <c r="I53" s="3" t="s">
        <v>168</v>
      </c>
      <c r="J53" s="3" t="s">
        <v>169</v>
      </c>
      <c r="K53" s="3" t="s">
        <v>115</v>
      </c>
      <c r="L53" s="3" t="s">
        <v>34</v>
      </c>
      <c r="M53" s="8">
        <v>1</v>
      </c>
      <c r="N53" s="9">
        <v>6.64</v>
      </c>
      <c r="O53" s="8">
        <v>343.1</v>
      </c>
    </row>
    <row r="54" spans="1:15" x14ac:dyDescent="0.25">
      <c r="A54" s="3" t="s">
        <v>19</v>
      </c>
      <c r="B54" s="3" t="s">
        <v>57</v>
      </c>
      <c r="C54" s="4">
        <v>45974</v>
      </c>
      <c r="D54" s="3" t="s">
        <v>21</v>
      </c>
      <c r="E54" s="3" t="s">
        <v>30</v>
      </c>
      <c r="F54" s="3" t="s">
        <v>141</v>
      </c>
      <c r="G54" s="3" t="s">
        <v>98</v>
      </c>
      <c r="H54" s="3" t="s">
        <v>25</v>
      </c>
      <c r="I54" s="3" t="s">
        <v>170</v>
      </c>
      <c r="J54" s="3" t="s">
        <v>171</v>
      </c>
      <c r="K54" s="3" t="s">
        <v>105</v>
      </c>
      <c r="L54" s="3" t="s">
        <v>106</v>
      </c>
      <c r="M54" s="8">
        <v>1</v>
      </c>
      <c r="N54" s="9">
        <v>4.12</v>
      </c>
      <c r="O54" s="8">
        <v>212.89</v>
      </c>
    </row>
    <row r="55" spans="1:15" x14ac:dyDescent="0.25">
      <c r="A55" s="3" t="s">
        <v>19</v>
      </c>
      <c r="B55" s="3" t="s">
        <v>57</v>
      </c>
      <c r="C55" s="4">
        <v>45975</v>
      </c>
      <c r="D55" s="3" t="s">
        <v>21</v>
      </c>
      <c r="E55" s="3" t="s">
        <v>44</v>
      </c>
      <c r="F55" s="3" t="s">
        <v>141</v>
      </c>
      <c r="G55" s="3" t="s">
        <v>98</v>
      </c>
      <c r="H55" s="3" t="s">
        <v>25</v>
      </c>
      <c r="I55" s="3" t="s">
        <v>172</v>
      </c>
      <c r="J55" s="3" t="s">
        <v>173</v>
      </c>
      <c r="K55" s="3" t="s">
        <v>67</v>
      </c>
      <c r="L55" s="3" t="s">
        <v>68</v>
      </c>
      <c r="M55" s="8">
        <v>1</v>
      </c>
      <c r="N55" s="9">
        <v>5.0599999999999996</v>
      </c>
      <c r="O55" s="8">
        <v>261.45999999999998</v>
      </c>
    </row>
    <row r="56" spans="1:15" x14ac:dyDescent="0.25">
      <c r="A56" s="3" t="s">
        <v>19</v>
      </c>
      <c r="B56" s="3" t="s">
        <v>57</v>
      </c>
      <c r="C56" s="4">
        <v>45976</v>
      </c>
      <c r="D56" s="3" t="s">
        <v>21</v>
      </c>
      <c r="E56" s="3" t="s">
        <v>22</v>
      </c>
      <c r="F56" s="3" t="s">
        <v>141</v>
      </c>
      <c r="G56" s="3" t="s">
        <v>98</v>
      </c>
      <c r="H56" s="3" t="s">
        <v>25</v>
      </c>
      <c r="I56" s="3" t="s">
        <v>174</v>
      </c>
      <c r="J56" s="3" t="s">
        <v>175</v>
      </c>
      <c r="K56" s="3" t="s">
        <v>51</v>
      </c>
      <c r="L56" s="3" t="s">
        <v>52</v>
      </c>
      <c r="M56" s="8">
        <v>1</v>
      </c>
      <c r="N56" s="9">
        <v>6.74</v>
      </c>
      <c r="O56" s="8">
        <v>348.27</v>
      </c>
    </row>
    <row r="57" spans="1:15" x14ac:dyDescent="0.25">
      <c r="A57" s="3" t="s">
        <v>19</v>
      </c>
      <c r="B57" s="3" t="s">
        <v>57</v>
      </c>
      <c r="C57" s="4">
        <v>45979</v>
      </c>
      <c r="D57" s="3" t="s">
        <v>21</v>
      </c>
      <c r="E57" s="3" t="s">
        <v>58</v>
      </c>
      <c r="F57" s="3" t="s">
        <v>141</v>
      </c>
      <c r="G57" s="3" t="s">
        <v>98</v>
      </c>
      <c r="H57" s="3" t="s">
        <v>25</v>
      </c>
      <c r="I57" s="3" t="s">
        <v>176</v>
      </c>
      <c r="J57" s="3" t="s">
        <v>177</v>
      </c>
      <c r="K57" s="3" t="s">
        <v>33</v>
      </c>
      <c r="L57" s="3" t="s">
        <v>109</v>
      </c>
      <c r="M57" s="8">
        <v>1</v>
      </c>
      <c r="N57" s="9">
        <v>4.18</v>
      </c>
      <c r="O57" s="8">
        <v>215.99</v>
      </c>
    </row>
    <row r="58" spans="1:15" x14ac:dyDescent="0.25">
      <c r="A58" s="3" t="s">
        <v>19</v>
      </c>
      <c r="B58" s="3" t="s">
        <v>57</v>
      </c>
      <c r="C58" s="4">
        <v>45979</v>
      </c>
      <c r="D58" s="3" t="s">
        <v>21</v>
      </c>
      <c r="E58" s="3" t="s">
        <v>58</v>
      </c>
      <c r="F58" s="3" t="s">
        <v>141</v>
      </c>
      <c r="G58" s="3" t="s">
        <v>98</v>
      </c>
      <c r="H58" s="3" t="s">
        <v>25</v>
      </c>
      <c r="I58" s="3" t="s">
        <v>178</v>
      </c>
      <c r="J58" s="3" t="s">
        <v>179</v>
      </c>
      <c r="K58" s="3" t="s">
        <v>33</v>
      </c>
      <c r="L58" s="3" t="s">
        <v>109</v>
      </c>
      <c r="M58" s="8">
        <v>1</v>
      </c>
      <c r="N58" s="9">
        <v>5.0199999999999996</v>
      </c>
      <c r="O58" s="8">
        <v>259.39</v>
      </c>
    </row>
    <row r="59" spans="1:15" x14ac:dyDescent="0.25">
      <c r="A59" s="3" t="s">
        <v>19</v>
      </c>
      <c r="B59" s="3" t="s">
        <v>57</v>
      </c>
      <c r="C59" s="4">
        <v>45981</v>
      </c>
      <c r="D59" s="3" t="s">
        <v>21</v>
      </c>
      <c r="E59" s="3" t="s">
        <v>30</v>
      </c>
      <c r="F59" s="3" t="s">
        <v>141</v>
      </c>
      <c r="G59" s="3" t="s">
        <v>98</v>
      </c>
      <c r="H59" s="3" t="s">
        <v>25</v>
      </c>
      <c r="I59" s="3" t="s">
        <v>180</v>
      </c>
      <c r="J59" s="3" t="s">
        <v>181</v>
      </c>
      <c r="K59" s="3" t="s">
        <v>33</v>
      </c>
      <c r="L59" s="3" t="s">
        <v>109</v>
      </c>
      <c r="M59" s="8">
        <v>1</v>
      </c>
      <c r="N59" s="9">
        <v>6.28</v>
      </c>
      <c r="O59" s="8">
        <v>324.5</v>
      </c>
    </row>
    <row r="60" spans="1:15" x14ac:dyDescent="0.25">
      <c r="A60" s="3" t="s">
        <v>19</v>
      </c>
      <c r="B60" s="3" t="s">
        <v>57</v>
      </c>
      <c r="C60" s="4">
        <v>45982</v>
      </c>
      <c r="D60" s="3" t="s">
        <v>21</v>
      </c>
      <c r="E60" s="3" t="s">
        <v>44</v>
      </c>
      <c r="F60" s="3" t="s">
        <v>141</v>
      </c>
      <c r="G60" s="3" t="s">
        <v>98</v>
      </c>
      <c r="H60" s="3" t="s">
        <v>25</v>
      </c>
      <c r="I60" s="3" t="s">
        <v>182</v>
      </c>
      <c r="J60" s="3" t="s">
        <v>183</v>
      </c>
      <c r="K60" s="3" t="s">
        <v>51</v>
      </c>
      <c r="L60" s="3" t="s">
        <v>52</v>
      </c>
      <c r="M60" s="8">
        <v>1</v>
      </c>
      <c r="N60" s="9">
        <v>5.94</v>
      </c>
      <c r="O60" s="8">
        <v>306.93</v>
      </c>
    </row>
    <row r="61" spans="1:15" x14ac:dyDescent="0.25">
      <c r="A61" s="3" t="s">
        <v>19</v>
      </c>
      <c r="B61" s="3" t="s">
        <v>57</v>
      </c>
      <c r="C61" s="4">
        <v>45983</v>
      </c>
      <c r="D61" s="3" t="s">
        <v>21</v>
      </c>
      <c r="E61" s="3" t="s">
        <v>22</v>
      </c>
      <c r="F61" s="3" t="s">
        <v>141</v>
      </c>
      <c r="G61" s="3" t="s">
        <v>98</v>
      </c>
      <c r="H61" s="3" t="s">
        <v>25</v>
      </c>
      <c r="I61" s="3" t="s">
        <v>184</v>
      </c>
      <c r="J61" s="3" t="s">
        <v>185</v>
      </c>
      <c r="K61" s="3" t="s">
        <v>33</v>
      </c>
      <c r="L61" s="3" t="s">
        <v>109</v>
      </c>
      <c r="M61" s="8">
        <v>1</v>
      </c>
      <c r="N61" s="9">
        <v>2.74</v>
      </c>
      <c r="O61" s="8">
        <v>141.58000000000001</v>
      </c>
    </row>
    <row r="62" spans="1:15" x14ac:dyDescent="0.25">
      <c r="A62" s="3" t="s">
        <v>19</v>
      </c>
      <c r="B62" s="3" t="s">
        <v>57</v>
      </c>
      <c r="C62" s="4">
        <v>45985</v>
      </c>
      <c r="D62" s="3" t="s">
        <v>21</v>
      </c>
      <c r="E62" s="3" t="s">
        <v>38</v>
      </c>
      <c r="F62" s="3" t="s">
        <v>141</v>
      </c>
      <c r="G62" s="3" t="s">
        <v>98</v>
      </c>
      <c r="H62" s="3" t="s">
        <v>25</v>
      </c>
      <c r="I62" s="3" t="s">
        <v>1</v>
      </c>
      <c r="J62" s="3" t="s">
        <v>186</v>
      </c>
      <c r="K62" s="3" t="s">
        <v>187</v>
      </c>
      <c r="L62" s="3" t="s">
        <v>109</v>
      </c>
      <c r="M62" s="8">
        <v>1</v>
      </c>
      <c r="N62" s="9">
        <v>1.72</v>
      </c>
      <c r="O62" s="8">
        <v>88.88</v>
      </c>
    </row>
    <row r="63" spans="1:15" x14ac:dyDescent="0.25">
      <c r="A63" s="3" t="s">
        <v>19</v>
      </c>
      <c r="B63" s="3" t="s">
        <v>57</v>
      </c>
      <c r="C63" s="4">
        <v>45986</v>
      </c>
      <c r="D63" s="3" t="s">
        <v>21</v>
      </c>
      <c r="E63" s="3" t="s">
        <v>58</v>
      </c>
      <c r="F63" s="3" t="s">
        <v>141</v>
      </c>
      <c r="G63" s="3" t="s">
        <v>98</v>
      </c>
      <c r="H63" s="3" t="s">
        <v>25</v>
      </c>
      <c r="I63" s="3" t="s">
        <v>188</v>
      </c>
      <c r="J63" s="3" t="s">
        <v>189</v>
      </c>
      <c r="K63" s="3" t="s">
        <v>190</v>
      </c>
      <c r="L63" s="3" t="s">
        <v>47</v>
      </c>
      <c r="M63" s="8">
        <v>1</v>
      </c>
      <c r="N63" s="9">
        <v>2.2000000000000002</v>
      </c>
      <c r="O63" s="8">
        <v>113.68</v>
      </c>
    </row>
    <row r="64" spans="1:15" x14ac:dyDescent="0.25">
      <c r="A64" s="10" t="s">
        <v>1</v>
      </c>
      <c r="B64" s="10" t="s">
        <v>72</v>
      </c>
      <c r="C64" s="10" t="s">
        <v>1</v>
      </c>
      <c r="D64" s="10" t="s">
        <v>1</v>
      </c>
      <c r="E64" s="10" t="s">
        <v>1</v>
      </c>
      <c r="F64" s="10" t="s">
        <v>1</v>
      </c>
      <c r="G64" s="10" t="s">
        <v>1</v>
      </c>
      <c r="H64" s="10" t="s">
        <v>1</v>
      </c>
      <c r="I64" s="10" t="s">
        <v>1</v>
      </c>
      <c r="J64" s="10" t="s">
        <v>1</v>
      </c>
      <c r="K64" s="10" t="s">
        <v>1</v>
      </c>
      <c r="L64" s="10" t="s">
        <v>1</v>
      </c>
      <c r="M64" s="11">
        <v>16</v>
      </c>
      <c r="N64" s="11">
        <v>77.84</v>
      </c>
      <c r="O64" s="11">
        <v>4022.13</v>
      </c>
    </row>
    <row r="65" spans="1:15" x14ac:dyDescent="0.25">
      <c r="B65" s="2" t="s">
        <v>1</v>
      </c>
    </row>
    <row r="66" spans="1:15" x14ac:dyDescent="0.25">
      <c r="B66" s="2" t="s">
        <v>117</v>
      </c>
    </row>
    <row r="67" spans="1:15" x14ac:dyDescent="0.25">
      <c r="B67" s="2" t="s">
        <v>1</v>
      </c>
    </row>
    <row r="68" spans="1:15" x14ac:dyDescent="0.25">
      <c r="A68" s="6" t="s">
        <v>4</v>
      </c>
      <c r="B68" s="6" t="s">
        <v>5</v>
      </c>
      <c r="C68" s="6" t="s">
        <v>6</v>
      </c>
      <c r="D68" s="6" t="s">
        <v>7</v>
      </c>
      <c r="E68" s="6" t="s">
        <v>8</v>
      </c>
      <c r="F68" s="6" t="s">
        <v>9</v>
      </c>
      <c r="G68" s="6" t="s">
        <v>10</v>
      </c>
      <c r="H68" s="6" t="s">
        <v>11</v>
      </c>
      <c r="I68" s="6" t="s">
        <v>12</v>
      </c>
      <c r="J68" s="6" t="s">
        <v>13</v>
      </c>
      <c r="K68" s="6" t="s">
        <v>14</v>
      </c>
      <c r="L68" s="6" t="s">
        <v>15</v>
      </c>
      <c r="M68" s="6" t="s">
        <v>16</v>
      </c>
      <c r="N68" s="6" t="s">
        <v>17</v>
      </c>
      <c r="O68" s="6" t="s">
        <v>18</v>
      </c>
    </row>
    <row r="69" spans="1:15" x14ac:dyDescent="0.25">
      <c r="A69" s="3" t="s">
        <v>19</v>
      </c>
      <c r="B69" s="3" t="s">
        <v>74</v>
      </c>
      <c r="C69" s="4">
        <v>45964</v>
      </c>
      <c r="D69" s="3" t="s">
        <v>21</v>
      </c>
      <c r="E69" s="3" t="s">
        <v>38</v>
      </c>
      <c r="F69" s="3" t="s">
        <v>141</v>
      </c>
      <c r="G69" s="3" t="s">
        <v>98</v>
      </c>
      <c r="H69" s="3" t="s">
        <v>118</v>
      </c>
      <c r="I69" s="3" t="s">
        <v>206</v>
      </c>
      <c r="J69" s="3" t="s">
        <v>207</v>
      </c>
      <c r="K69" s="3" t="s">
        <v>71</v>
      </c>
      <c r="L69" s="3" t="s">
        <v>63</v>
      </c>
      <c r="M69" s="8">
        <v>1</v>
      </c>
      <c r="N69" s="9">
        <v>5.42</v>
      </c>
      <c r="O69" s="8">
        <v>156.21</v>
      </c>
    </row>
    <row r="70" spans="1:15" x14ac:dyDescent="0.25">
      <c r="A70" s="3" t="s">
        <v>19</v>
      </c>
      <c r="B70" s="3" t="s">
        <v>74</v>
      </c>
      <c r="C70" s="4">
        <v>45971</v>
      </c>
      <c r="D70" s="3" t="s">
        <v>21</v>
      </c>
      <c r="E70" s="3" t="s">
        <v>38</v>
      </c>
      <c r="F70" s="3" t="s">
        <v>141</v>
      </c>
      <c r="G70" s="3" t="s">
        <v>98</v>
      </c>
      <c r="H70" s="3" t="s">
        <v>118</v>
      </c>
      <c r="I70" s="3" t="s">
        <v>208</v>
      </c>
      <c r="J70" s="3" t="s">
        <v>209</v>
      </c>
      <c r="K70" s="3" t="s">
        <v>33</v>
      </c>
      <c r="L70" s="3" t="s">
        <v>63</v>
      </c>
      <c r="M70" s="8">
        <v>1</v>
      </c>
      <c r="N70" s="9">
        <v>4.9400000000000004</v>
      </c>
      <c r="O70" s="8">
        <v>142.38</v>
      </c>
    </row>
    <row r="71" spans="1:15" x14ac:dyDescent="0.25">
      <c r="A71" s="3" t="s">
        <v>19</v>
      </c>
      <c r="B71" s="3" t="s">
        <v>74</v>
      </c>
      <c r="C71" s="4">
        <v>45978</v>
      </c>
      <c r="D71" s="3" t="s">
        <v>21</v>
      </c>
      <c r="E71" s="3" t="s">
        <v>38</v>
      </c>
      <c r="F71" s="3" t="s">
        <v>141</v>
      </c>
      <c r="G71" s="3" t="s">
        <v>98</v>
      </c>
      <c r="H71" s="3" t="s">
        <v>118</v>
      </c>
      <c r="I71" s="3" t="s">
        <v>210</v>
      </c>
      <c r="J71" s="3" t="s">
        <v>211</v>
      </c>
      <c r="K71" s="3" t="s">
        <v>51</v>
      </c>
      <c r="L71" s="3" t="s">
        <v>52</v>
      </c>
      <c r="M71" s="8">
        <v>1</v>
      </c>
      <c r="N71" s="9">
        <v>5.0599999999999996</v>
      </c>
      <c r="O71" s="8">
        <v>145.84</v>
      </c>
    </row>
    <row r="72" spans="1:15" x14ac:dyDescent="0.25">
      <c r="A72" s="3" t="s">
        <v>19</v>
      </c>
      <c r="B72" s="3" t="s">
        <v>74</v>
      </c>
      <c r="C72" s="4">
        <v>45985</v>
      </c>
      <c r="D72" s="3" t="s">
        <v>21</v>
      </c>
      <c r="E72" s="3" t="s">
        <v>38</v>
      </c>
      <c r="F72" s="3" t="s">
        <v>141</v>
      </c>
      <c r="G72" s="3" t="s">
        <v>98</v>
      </c>
      <c r="H72" s="3" t="s">
        <v>118</v>
      </c>
      <c r="I72" s="3" t="s">
        <v>212</v>
      </c>
      <c r="J72" s="3" t="s">
        <v>213</v>
      </c>
      <c r="K72" s="3" t="s">
        <v>201</v>
      </c>
      <c r="L72" s="3" t="s">
        <v>202</v>
      </c>
      <c r="M72" s="8">
        <v>1</v>
      </c>
      <c r="N72" s="9">
        <v>4.12</v>
      </c>
      <c r="O72" s="8">
        <v>118.75</v>
      </c>
    </row>
    <row r="73" spans="1:15" x14ac:dyDescent="0.25">
      <c r="A73" s="10" t="s">
        <v>1</v>
      </c>
      <c r="B73" s="10" t="s">
        <v>121</v>
      </c>
      <c r="C73" s="10" t="s">
        <v>1</v>
      </c>
      <c r="D73" s="10" t="s">
        <v>1</v>
      </c>
      <c r="E73" s="10" t="s">
        <v>1</v>
      </c>
      <c r="F73" s="10" t="s">
        <v>1</v>
      </c>
      <c r="G73" s="10" t="s">
        <v>1</v>
      </c>
      <c r="H73" s="10" t="s">
        <v>1</v>
      </c>
      <c r="I73" s="10" t="s">
        <v>1</v>
      </c>
      <c r="J73" s="10" t="s">
        <v>1</v>
      </c>
      <c r="K73" s="10" t="s">
        <v>1</v>
      </c>
      <c r="L73" s="10" t="s">
        <v>1</v>
      </c>
      <c r="M73" s="11">
        <v>4</v>
      </c>
      <c r="N73" s="11">
        <v>19.54</v>
      </c>
      <c r="O73" s="11">
        <v>563.17999999999995</v>
      </c>
    </row>
    <row r="74" spans="1:15" x14ac:dyDescent="0.25">
      <c r="A74" s="10" t="s">
        <v>1</v>
      </c>
      <c r="B74" s="10" t="s">
        <v>218</v>
      </c>
      <c r="C74" s="10" t="s">
        <v>1</v>
      </c>
      <c r="D74" s="10" t="s">
        <v>1</v>
      </c>
      <c r="E74" s="10" t="s">
        <v>1</v>
      </c>
      <c r="F74" s="10" t="s">
        <v>1</v>
      </c>
      <c r="G74" s="10" t="s">
        <v>1</v>
      </c>
      <c r="H74" s="10" t="s">
        <v>1</v>
      </c>
      <c r="I74" s="10" t="s">
        <v>1</v>
      </c>
      <c r="J74" s="10" t="s">
        <v>1</v>
      </c>
      <c r="K74" s="10" t="s">
        <v>1</v>
      </c>
      <c r="L74" s="10" t="s">
        <v>1</v>
      </c>
      <c r="M74" s="11">
        <v>35</v>
      </c>
      <c r="N74" s="11">
        <v>165.56</v>
      </c>
      <c r="O74" s="11">
        <v>7381.65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3"/>
  <sheetViews>
    <sheetView workbookViewId="0"/>
  </sheetViews>
  <sheetFormatPr baseColWidth="10" defaultColWidth="9.140625" defaultRowHeight="15" x14ac:dyDescent="0.25"/>
  <cols>
    <col min="1" max="1" width="23.5703125" bestFit="1" customWidth="1"/>
    <col min="2" max="2" width="67.85546875" bestFit="1" customWidth="1"/>
    <col min="3" max="3" width="9.28515625" bestFit="1" customWidth="1"/>
    <col min="4" max="4" width="6" bestFit="1" customWidth="1"/>
    <col min="5" max="5" width="8.140625" bestFit="1" customWidth="1"/>
    <col min="6" max="6" width="30.2851562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855468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264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19</v>
      </c>
      <c r="B13" s="12" t="s">
        <v>20</v>
      </c>
      <c r="C13" s="7">
        <v>45972</v>
      </c>
      <c r="D13" s="12" t="s">
        <v>82</v>
      </c>
      <c r="E13" s="12" t="s">
        <v>58</v>
      </c>
      <c r="F13" s="12" t="s">
        <v>265</v>
      </c>
      <c r="G13" s="12" t="s">
        <v>98</v>
      </c>
      <c r="H13" s="12" t="s">
        <v>25</v>
      </c>
      <c r="I13" s="12" t="s">
        <v>266</v>
      </c>
      <c r="J13" s="12" t="s">
        <v>267</v>
      </c>
      <c r="K13" s="12" t="s">
        <v>28</v>
      </c>
      <c r="L13" s="12" t="s">
        <v>29</v>
      </c>
      <c r="M13" s="13">
        <v>1</v>
      </c>
      <c r="N13" s="13">
        <v>6.58</v>
      </c>
      <c r="O13" s="13">
        <v>418.46</v>
      </c>
    </row>
    <row r="14" spans="1:15" x14ac:dyDescent="0.25">
      <c r="A14" s="10" t="s">
        <v>1</v>
      </c>
      <c r="B14" s="10" t="s">
        <v>41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6.58</v>
      </c>
      <c r="O14" s="11">
        <v>418.46</v>
      </c>
    </row>
    <row r="15" spans="1:15" x14ac:dyDescent="0.25">
      <c r="B15" s="2" t="s">
        <v>1</v>
      </c>
    </row>
    <row r="16" spans="1:15" x14ac:dyDescent="0.25">
      <c r="B16" s="2" t="s">
        <v>42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4" t="s">
        <v>19</v>
      </c>
      <c r="B19" s="14" t="s">
        <v>43</v>
      </c>
      <c r="C19" s="7">
        <v>45991</v>
      </c>
      <c r="D19" s="14" t="s">
        <v>21</v>
      </c>
      <c r="E19" s="14" t="s">
        <v>85</v>
      </c>
      <c r="F19" s="14" t="s">
        <v>265</v>
      </c>
      <c r="G19" s="14" t="s">
        <v>98</v>
      </c>
      <c r="H19" s="14" t="s">
        <v>25</v>
      </c>
      <c r="I19" s="14" t="s">
        <v>268</v>
      </c>
      <c r="J19" s="14" t="s">
        <v>269</v>
      </c>
      <c r="K19" s="14" t="s">
        <v>28</v>
      </c>
      <c r="L19" s="14" t="s">
        <v>29</v>
      </c>
      <c r="M19" s="15">
        <v>1</v>
      </c>
      <c r="N19" s="15">
        <v>4.5199999999999996</v>
      </c>
      <c r="O19" s="15">
        <v>287.45</v>
      </c>
    </row>
    <row r="20" spans="1:15" x14ac:dyDescent="0.25">
      <c r="A20" s="10" t="s">
        <v>1</v>
      </c>
      <c r="B20" s="10" t="s">
        <v>55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4.5199999999999996</v>
      </c>
      <c r="O20" s="11">
        <v>287.45</v>
      </c>
    </row>
    <row r="21" spans="1:15" x14ac:dyDescent="0.25">
      <c r="B21" s="2" t="s">
        <v>1</v>
      </c>
    </row>
    <row r="22" spans="1:15" x14ac:dyDescent="0.25">
      <c r="B22" s="2" t="s">
        <v>56</v>
      </c>
    </row>
    <row r="23" spans="1:15" x14ac:dyDescent="0.25">
      <c r="B23" s="2" t="s">
        <v>1</v>
      </c>
    </row>
    <row r="24" spans="1:15" x14ac:dyDescent="0.25">
      <c r="A24" s="6" t="s">
        <v>4</v>
      </c>
      <c r="B24" s="6" t="s">
        <v>5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</row>
    <row r="25" spans="1:15" x14ac:dyDescent="0.25">
      <c r="A25" s="12" t="s">
        <v>19</v>
      </c>
      <c r="B25" s="12" t="s">
        <v>57</v>
      </c>
      <c r="C25" s="7">
        <v>45972</v>
      </c>
      <c r="D25" s="12" t="s">
        <v>82</v>
      </c>
      <c r="E25" s="12" t="s">
        <v>58</v>
      </c>
      <c r="F25" s="12" t="s">
        <v>265</v>
      </c>
      <c r="G25" s="12" t="s">
        <v>98</v>
      </c>
      <c r="H25" s="12" t="s">
        <v>25</v>
      </c>
      <c r="I25" s="12" t="s">
        <v>270</v>
      </c>
      <c r="J25" s="12" t="s">
        <v>271</v>
      </c>
      <c r="K25" s="12" t="s">
        <v>91</v>
      </c>
      <c r="L25" s="12" t="s">
        <v>92</v>
      </c>
      <c r="M25" s="13">
        <v>1</v>
      </c>
      <c r="N25" s="13">
        <v>6.52</v>
      </c>
      <c r="O25" s="13">
        <v>414.65</v>
      </c>
    </row>
    <row r="26" spans="1:15" x14ac:dyDescent="0.25">
      <c r="A26" s="12" t="s">
        <v>19</v>
      </c>
      <c r="B26" s="12" t="s">
        <v>57</v>
      </c>
      <c r="C26" s="7">
        <v>45972</v>
      </c>
      <c r="D26" s="12" t="s">
        <v>82</v>
      </c>
      <c r="E26" s="12" t="s">
        <v>58</v>
      </c>
      <c r="F26" s="12" t="s">
        <v>265</v>
      </c>
      <c r="G26" s="12" t="s">
        <v>98</v>
      </c>
      <c r="H26" s="12" t="s">
        <v>25</v>
      </c>
      <c r="I26" s="12" t="s">
        <v>272</v>
      </c>
      <c r="J26" s="12" t="s">
        <v>273</v>
      </c>
      <c r="K26" s="12" t="s">
        <v>91</v>
      </c>
      <c r="L26" s="12" t="s">
        <v>92</v>
      </c>
      <c r="M26" s="13">
        <v>1</v>
      </c>
      <c r="N26" s="13">
        <v>4.68</v>
      </c>
      <c r="O26" s="13">
        <v>297.63</v>
      </c>
    </row>
    <row r="27" spans="1:15" x14ac:dyDescent="0.25">
      <c r="A27" s="10" t="s">
        <v>1</v>
      </c>
      <c r="B27" s="10" t="s">
        <v>72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1">
        <v>2</v>
      </c>
      <c r="N27" s="11">
        <v>11.2</v>
      </c>
      <c r="O27" s="11">
        <v>712.28</v>
      </c>
    </row>
    <row r="28" spans="1:15" x14ac:dyDescent="0.25">
      <c r="B28" s="2" t="s">
        <v>1</v>
      </c>
    </row>
    <row r="29" spans="1:15" x14ac:dyDescent="0.25">
      <c r="B29" s="2" t="s">
        <v>73</v>
      </c>
    </row>
    <row r="30" spans="1:15" x14ac:dyDescent="0.25">
      <c r="B30" s="2" t="s">
        <v>1</v>
      </c>
    </row>
    <row r="31" spans="1:15" x14ac:dyDescent="0.25">
      <c r="A31" s="6" t="s">
        <v>4</v>
      </c>
      <c r="B31" s="6" t="s">
        <v>5</v>
      </c>
      <c r="C31" s="6" t="s">
        <v>6</v>
      </c>
      <c r="D31" s="6" t="s">
        <v>7</v>
      </c>
      <c r="E31" s="6" t="s">
        <v>8</v>
      </c>
      <c r="F31" s="6" t="s">
        <v>9</v>
      </c>
      <c r="G31" s="6" t="s">
        <v>10</v>
      </c>
      <c r="H31" s="6" t="s">
        <v>11</v>
      </c>
      <c r="I31" s="6" t="s">
        <v>12</v>
      </c>
      <c r="J31" s="6" t="s">
        <v>13</v>
      </c>
      <c r="K31" s="6" t="s">
        <v>14</v>
      </c>
      <c r="L31" s="6" t="s">
        <v>15</v>
      </c>
      <c r="M31" s="6" t="s">
        <v>16</v>
      </c>
      <c r="N31" s="6" t="s">
        <v>17</v>
      </c>
      <c r="O31" s="6" t="s">
        <v>18</v>
      </c>
    </row>
    <row r="32" spans="1:15" x14ac:dyDescent="0.25">
      <c r="A32" s="12" t="s">
        <v>19</v>
      </c>
      <c r="B32" s="12" t="s">
        <v>74</v>
      </c>
      <c r="C32" s="7">
        <v>45972</v>
      </c>
      <c r="D32" s="12" t="s">
        <v>82</v>
      </c>
      <c r="E32" s="12" t="s">
        <v>58</v>
      </c>
      <c r="F32" s="12" t="s">
        <v>265</v>
      </c>
      <c r="G32" s="12" t="s">
        <v>98</v>
      </c>
      <c r="H32" s="12" t="s">
        <v>25</v>
      </c>
      <c r="I32" s="12" t="s">
        <v>274</v>
      </c>
      <c r="J32" s="12" t="s">
        <v>275</v>
      </c>
      <c r="K32" s="12" t="s">
        <v>33</v>
      </c>
      <c r="L32" s="12" t="s">
        <v>109</v>
      </c>
      <c r="M32" s="13">
        <v>1</v>
      </c>
      <c r="N32" s="13">
        <v>3.74</v>
      </c>
      <c r="O32" s="13">
        <v>237.85</v>
      </c>
    </row>
    <row r="33" spans="1:15" x14ac:dyDescent="0.25">
      <c r="A33" s="10" t="s">
        <v>1</v>
      </c>
      <c r="B33" s="10" t="s">
        <v>78</v>
      </c>
      <c r="C33" s="10" t="s">
        <v>1</v>
      </c>
      <c r="D33" s="10" t="s">
        <v>1</v>
      </c>
      <c r="E33" s="10" t="s">
        <v>1</v>
      </c>
      <c r="F33" s="10" t="s">
        <v>1</v>
      </c>
      <c r="G33" s="10" t="s">
        <v>1</v>
      </c>
      <c r="H33" s="10" t="s">
        <v>1</v>
      </c>
      <c r="I33" s="10" t="s">
        <v>1</v>
      </c>
      <c r="J33" s="10" t="s">
        <v>1</v>
      </c>
      <c r="K33" s="10" t="s">
        <v>1</v>
      </c>
      <c r="L33" s="10" t="s">
        <v>1</v>
      </c>
      <c r="M33" s="11">
        <v>1</v>
      </c>
      <c r="N33" s="11">
        <v>3.74</v>
      </c>
      <c r="O33" s="11">
        <v>237.85</v>
      </c>
    </row>
    <row r="34" spans="1:15" x14ac:dyDescent="0.25">
      <c r="A34" s="5" t="s">
        <v>1</v>
      </c>
      <c r="B34" s="5" t="s">
        <v>276</v>
      </c>
      <c r="C34" s="5" t="s">
        <v>1</v>
      </c>
      <c r="D34" s="5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 t="s">
        <v>1</v>
      </c>
      <c r="K34" s="5" t="s">
        <v>1</v>
      </c>
      <c r="L34" s="5" t="s">
        <v>1</v>
      </c>
      <c r="M34" s="8">
        <v>5</v>
      </c>
      <c r="N34" s="9">
        <v>26.04</v>
      </c>
      <c r="O34" s="8">
        <v>1656.04</v>
      </c>
    </row>
    <row r="35" spans="1:15" x14ac:dyDescent="0.25">
      <c r="B35" s="2" t="s">
        <v>1</v>
      </c>
    </row>
    <row r="36" spans="1:15" x14ac:dyDescent="0.25">
      <c r="B36" s="2" t="s">
        <v>192</v>
      </c>
    </row>
    <row r="37" spans="1:15" x14ac:dyDescent="0.25">
      <c r="B37" s="2" t="s">
        <v>1</v>
      </c>
    </row>
    <row r="38" spans="1:15" x14ac:dyDescent="0.25">
      <c r="A38" s="6" t="s">
        <v>4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  <c r="G38" s="6" t="s">
        <v>10</v>
      </c>
      <c r="H38" s="6" t="s">
        <v>11</v>
      </c>
      <c r="I38" s="6" t="s">
        <v>12</v>
      </c>
      <c r="J38" s="6" t="s">
        <v>13</v>
      </c>
      <c r="K38" s="6" t="s">
        <v>14</v>
      </c>
      <c r="L38" s="6" t="s">
        <v>15</v>
      </c>
      <c r="M38" s="6" t="s">
        <v>16</v>
      </c>
      <c r="N38" s="6" t="s">
        <v>17</v>
      </c>
      <c r="O38" s="6" t="s">
        <v>18</v>
      </c>
    </row>
    <row r="39" spans="1:15" x14ac:dyDescent="0.25">
      <c r="A39" s="14" t="s">
        <v>19</v>
      </c>
      <c r="B39" s="14" t="s">
        <v>43</v>
      </c>
      <c r="C39" s="7">
        <v>45963</v>
      </c>
      <c r="D39" s="14" t="s">
        <v>21</v>
      </c>
      <c r="E39" s="14" t="s">
        <v>85</v>
      </c>
      <c r="F39" s="14" t="s">
        <v>265</v>
      </c>
      <c r="G39" s="14" t="s">
        <v>98</v>
      </c>
      <c r="H39" s="14" t="s">
        <v>118</v>
      </c>
      <c r="I39" s="14" t="s">
        <v>277</v>
      </c>
      <c r="J39" s="14" t="s">
        <v>278</v>
      </c>
      <c r="K39" s="14" t="s">
        <v>28</v>
      </c>
      <c r="L39" s="14" t="s">
        <v>29</v>
      </c>
      <c r="M39" s="15">
        <v>1</v>
      </c>
      <c r="N39" s="15">
        <v>3.28</v>
      </c>
      <c r="O39" s="15">
        <v>120.61</v>
      </c>
    </row>
    <row r="40" spans="1:15" x14ac:dyDescent="0.25">
      <c r="A40" s="14" t="s">
        <v>19</v>
      </c>
      <c r="B40" s="14" t="s">
        <v>43</v>
      </c>
      <c r="C40" s="7">
        <v>45970</v>
      </c>
      <c r="D40" s="14" t="s">
        <v>21</v>
      </c>
      <c r="E40" s="14" t="s">
        <v>85</v>
      </c>
      <c r="F40" s="14" t="s">
        <v>265</v>
      </c>
      <c r="G40" s="14" t="s">
        <v>98</v>
      </c>
      <c r="H40" s="14" t="s">
        <v>118</v>
      </c>
      <c r="I40" s="14" t="s">
        <v>279</v>
      </c>
      <c r="J40" s="14" t="s">
        <v>280</v>
      </c>
      <c r="K40" s="14" t="s">
        <v>28</v>
      </c>
      <c r="L40" s="14" t="s">
        <v>29</v>
      </c>
      <c r="M40" s="15">
        <v>1</v>
      </c>
      <c r="N40" s="15">
        <v>7.06</v>
      </c>
      <c r="O40" s="15">
        <v>259.61</v>
      </c>
    </row>
    <row r="41" spans="1:15" x14ac:dyDescent="0.25">
      <c r="A41" s="10" t="s">
        <v>1</v>
      </c>
      <c r="B41" s="10" t="s">
        <v>205</v>
      </c>
      <c r="C41" s="10" t="s">
        <v>1</v>
      </c>
      <c r="D41" s="10" t="s">
        <v>1</v>
      </c>
      <c r="E41" s="10" t="s">
        <v>1</v>
      </c>
      <c r="F41" s="10" t="s">
        <v>1</v>
      </c>
      <c r="G41" s="10" t="s">
        <v>1</v>
      </c>
      <c r="H41" s="10" t="s">
        <v>1</v>
      </c>
      <c r="I41" s="10" t="s">
        <v>1</v>
      </c>
      <c r="J41" s="10" t="s">
        <v>1</v>
      </c>
      <c r="K41" s="10" t="s">
        <v>1</v>
      </c>
      <c r="L41" s="10" t="s">
        <v>1</v>
      </c>
      <c r="M41" s="11">
        <v>2</v>
      </c>
      <c r="N41" s="11">
        <v>10.34</v>
      </c>
      <c r="O41" s="11">
        <v>380.22</v>
      </c>
    </row>
    <row r="42" spans="1:15" x14ac:dyDescent="0.25">
      <c r="A42" s="5" t="s">
        <v>1</v>
      </c>
      <c r="B42" s="5" t="s">
        <v>276</v>
      </c>
      <c r="C42" s="5" t="s">
        <v>1</v>
      </c>
      <c r="D42" s="5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8">
        <v>2</v>
      </c>
      <c r="N42" s="9">
        <v>10.34</v>
      </c>
      <c r="O42" s="8">
        <v>380.22</v>
      </c>
    </row>
    <row r="43" spans="1:15" x14ac:dyDescent="0.25">
      <c r="A43" s="10" t="s">
        <v>1</v>
      </c>
      <c r="B43" s="10" t="s">
        <v>281</v>
      </c>
      <c r="C43" s="10" t="s">
        <v>1</v>
      </c>
      <c r="D43" s="10" t="s">
        <v>1</v>
      </c>
      <c r="E43" s="10" t="s">
        <v>1</v>
      </c>
      <c r="F43" s="10" t="s">
        <v>1</v>
      </c>
      <c r="G43" s="10" t="s">
        <v>1</v>
      </c>
      <c r="H43" s="10" t="s">
        <v>1</v>
      </c>
      <c r="I43" s="10" t="s">
        <v>1</v>
      </c>
      <c r="J43" s="10" t="s">
        <v>1</v>
      </c>
      <c r="K43" s="10" t="s">
        <v>1</v>
      </c>
      <c r="L43" s="10" t="s">
        <v>1</v>
      </c>
      <c r="M43" s="11">
        <v>7</v>
      </c>
      <c r="N43" s="11">
        <v>36.380000000000003</v>
      </c>
      <c r="O43" s="11">
        <v>2036.26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52"/>
  <sheetViews>
    <sheetView topLeftCell="A25" workbookViewId="0"/>
  </sheetViews>
  <sheetFormatPr baseColWidth="10" defaultColWidth="9.140625" defaultRowHeight="15" x14ac:dyDescent="0.25"/>
  <cols>
    <col min="1" max="1" width="23.5703125" bestFit="1" customWidth="1"/>
    <col min="2" max="2" width="58.140625" bestFit="1" customWidth="1"/>
    <col min="3" max="3" width="9.28515625" bestFit="1" customWidth="1"/>
    <col min="4" max="4" width="6" bestFit="1" customWidth="1"/>
    <col min="5" max="5" width="7.5703125" bestFit="1" customWidth="1"/>
    <col min="6" max="6" width="22.42578125" bestFit="1" customWidth="1"/>
    <col min="7" max="7" width="37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219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20</v>
      </c>
      <c r="C13" s="4">
        <v>45964</v>
      </c>
      <c r="D13" s="3" t="s">
        <v>21</v>
      </c>
      <c r="E13" s="3" t="s">
        <v>38</v>
      </c>
      <c r="F13" s="3" t="s">
        <v>220</v>
      </c>
      <c r="G13" s="3" t="s">
        <v>24</v>
      </c>
      <c r="H13" s="3" t="s">
        <v>25</v>
      </c>
      <c r="I13" s="3" t="s">
        <v>221</v>
      </c>
      <c r="J13" s="3" t="s">
        <v>222</v>
      </c>
      <c r="K13" s="3" t="s">
        <v>28</v>
      </c>
      <c r="L13" s="3" t="s">
        <v>29</v>
      </c>
      <c r="M13" s="8">
        <v>1</v>
      </c>
      <c r="N13" s="9">
        <v>3.16</v>
      </c>
      <c r="O13" s="8">
        <v>141.32</v>
      </c>
    </row>
    <row r="14" spans="1:15" x14ac:dyDescent="0.25">
      <c r="A14" s="3" t="s">
        <v>19</v>
      </c>
      <c r="B14" s="3" t="s">
        <v>20</v>
      </c>
      <c r="C14" s="4">
        <v>45973</v>
      </c>
      <c r="D14" s="3" t="s">
        <v>21</v>
      </c>
      <c r="E14" s="3" t="s">
        <v>35</v>
      </c>
      <c r="F14" s="3" t="s">
        <v>220</v>
      </c>
      <c r="G14" s="3" t="s">
        <v>24</v>
      </c>
      <c r="H14" s="3" t="s">
        <v>25</v>
      </c>
      <c r="I14" s="3" t="s">
        <v>223</v>
      </c>
      <c r="J14" s="3" t="s">
        <v>224</v>
      </c>
      <c r="K14" s="3" t="s">
        <v>28</v>
      </c>
      <c r="L14" s="3" t="s">
        <v>29</v>
      </c>
      <c r="M14" s="8">
        <v>1</v>
      </c>
      <c r="N14" s="9">
        <v>5.96</v>
      </c>
      <c r="O14" s="8">
        <v>266.54000000000002</v>
      </c>
    </row>
    <row r="15" spans="1:15" x14ac:dyDescent="0.25">
      <c r="A15" s="3" t="s">
        <v>19</v>
      </c>
      <c r="B15" s="3" t="s">
        <v>20</v>
      </c>
      <c r="C15" s="4">
        <v>45974</v>
      </c>
      <c r="D15" s="3" t="s">
        <v>21</v>
      </c>
      <c r="E15" s="3" t="s">
        <v>30</v>
      </c>
      <c r="F15" s="3" t="s">
        <v>220</v>
      </c>
      <c r="G15" s="3" t="s">
        <v>24</v>
      </c>
      <c r="H15" s="3" t="s">
        <v>25</v>
      </c>
      <c r="I15" s="3" t="s">
        <v>225</v>
      </c>
      <c r="J15" s="3" t="s">
        <v>226</v>
      </c>
      <c r="K15" s="3" t="s">
        <v>33</v>
      </c>
      <c r="L15" s="3" t="s">
        <v>34</v>
      </c>
      <c r="M15" s="8">
        <v>1</v>
      </c>
      <c r="N15" s="9">
        <v>1.94</v>
      </c>
      <c r="O15" s="8">
        <v>86.76</v>
      </c>
    </row>
    <row r="16" spans="1:15" x14ac:dyDescent="0.25">
      <c r="A16" s="3" t="s">
        <v>19</v>
      </c>
      <c r="B16" s="3" t="s">
        <v>20</v>
      </c>
      <c r="C16" s="4">
        <v>45981</v>
      </c>
      <c r="D16" s="3" t="s">
        <v>21</v>
      </c>
      <c r="E16" s="3" t="s">
        <v>30</v>
      </c>
      <c r="F16" s="3" t="s">
        <v>220</v>
      </c>
      <c r="G16" s="3" t="s">
        <v>24</v>
      </c>
      <c r="H16" s="3" t="s">
        <v>25</v>
      </c>
      <c r="I16" s="3" t="s">
        <v>227</v>
      </c>
      <c r="J16" s="3" t="s">
        <v>228</v>
      </c>
      <c r="K16" s="3" t="s">
        <v>201</v>
      </c>
      <c r="L16" s="3" t="s">
        <v>202</v>
      </c>
      <c r="M16" s="8">
        <v>1</v>
      </c>
      <c r="N16" s="9">
        <v>4.0999999999999996</v>
      </c>
      <c r="O16" s="8">
        <v>183.36</v>
      </c>
    </row>
    <row r="17" spans="1:15" x14ac:dyDescent="0.25">
      <c r="A17" s="3" t="s">
        <v>19</v>
      </c>
      <c r="B17" s="3" t="s">
        <v>20</v>
      </c>
      <c r="C17" s="4">
        <v>45985</v>
      </c>
      <c r="D17" s="3" t="s">
        <v>21</v>
      </c>
      <c r="E17" s="3" t="s">
        <v>38</v>
      </c>
      <c r="F17" s="3" t="s">
        <v>220</v>
      </c>
      <c r="G17" s="3" t="s">
        <v>24</v>
      </c>
      <c r="H17" s="3" t="s">
        <v>25</v>
      </c>
      <c r="I17" s="3" t="s">
        <v>229</v>
      </c>
      <c r="J17" s="3" t="s">
        <v>230</v>
      </c>
      <c r="K17" s="3" t="s">
        <v>28</v>
      </c>
      <c r="L17" s="3" t="s">
        <v>29</v>
      </c>
      <c r="M17" s="8">
        <v>1</v>
      </c>
      <c r="N17" s="9">
        <v>2.74</v>
      </c>
      <c r="O17" s="8">
        <v>122.53</v>
      </c>
    </row>
    <row r="18" spans="1:15" x14ac:dyDescent="0.25">
      <c r="A18" s="3" t="s">
        <v>19</v>
      </c>
      <c r="B18" s="3" t="s">
        <v>20</v>
      </c>
      <c r="C18" s="4">
        <v>45990</v>
      </c>
      <c r="D18" s="3" t="s">
        <v>21</v>
      </c>
      <c r="E18" s="3" t="s">
        <v>22</v>
      </c>
      <c r="F18" s="3" t="s">
        <v>220</v>
      </c>
      <c r="G18" s="3" t="s">
        <v>24</v>
      </c>
      <c r="H18" s="3" t="s">
        <v>25</v>
      </c>
      <c r="I18" s="3" t="s">
        <v>26</v>
      </c>
      <c r="J18" s="3" t="s">
        <v>231</v>
      </c>
      <c r="K18" s="3" t="s">
        <v>28</v>
      </c>
      <c r="L18" s="3" t="s">
        <v>29</v>
      </c>
      <c r="M18" s="8">
        <v>1</v>
      </c>
      <c r="N18" s="9">
        <v>3.12</v>
      </c>
      <c r="O18" s="8">
        <v>139.53</v>
      </c>
    </row>
    <row r="19" spans="1:15" x14ac:dyDescent="0.25">
      <c r="A19" s="10" t="s">
        <v>1</v>
      </c>
      <c r="B19" s="10" t="s">
        <v>41</v>
      </c>
      <c r="C19" s="10" t="s">
        <v>1</v>
      </c>
      <c r="D19" s="10" t="s">
        <v>1</v>
      </c>
      <c r="E19" s="10" t="s">
        <v>1</v>
      </c>
      <c r="F19" s="10" t="s">
        <v>1</v>
      </c>
      <c r="G19" s="10" t="s">
        <v>1</v>
      </c>
      <c r="H19" s="10" t="s">
        <v>1</v>
      </c>
      <c r="I19" s="10" t="s">
        <v>1</v>
      </c>
      <c r="J19" s="10" t="s">
        <v>1</v>
      </c>
      <c r="K19" s="10" t="s">
        <v>1</v>
      </c>
      <c r="L19" s="10" t="s">
        <v>1</v>
      </c>
      <c r="M19" s="11">
        <v>6</v>
      </c>
      <c r="N19" s="11">
        <v>21.02</v>
      </c>
      <c r="O19" s="11">
        <v>940.03</v>
      </c>
    </row>
    <row r="20" spans="1:15" x14ac:dyDescent="0.25">
      <c r="B20" s="2" t="s">
        <v>1</v>
      </c>
    </row>
    <row r="21" spans="1:15" x14ac:dyDescent="0.25">
      <c r="B21" s="2" t="s">
        <v>42</v>
      </c>
    </row>
    <row r="22" spans="1:15" x14ac:dyDescent="0.25">
      <c r="B22" s="2" t="s">
        <v>1</v>
      </c>
    </row>
    <row r="23" spans="1:15" x14ac:dyDescent="0.25">
      <c r="A23" s="6" t="s">
        <v>4</v>
      </c>
      <c r="B23" s="6" t="s">
        <v>5</v>
      </c>
      <c r="C23" s="6" t="s">
        <v>6</v>
      </c>
      <c r="D23" s="6" t="s">
        <v>7</v>
      </c>
      <c r="E23" s="6" t="s">
        <v>8</v>
      </c>
      <c r="F23" s="6" t="s">
        <v>9</v>
      </c>
      <c r="G23" s="6" t="s">
        <v>10</v>
      </c>
      <c r="H23" s="6" t="s">
        <v>11</v>
      </c>
      <c r="I23" s="6" t="s">
        <v>12</v>
      </c>
      <c r="J23" s="6" t="s">
        <v>13</v>
      </c>
      <c r="K23" s="6" t="s">
        <v>14</v>
      </c>
      <c r="L23" s="6" t="s">
        <v>15</v>
      </c>
      <c r="M23" s="6" t="s">
        <v>16</v>
      </c>
      <c r="N23" s="6" t="s">
        <v>17</v>
      </c>
      <c r="O23" s="6" t="s">
        <v>18</v>
      </c>
    </row>
    <row r="24" spans="1:15" x14ac:dyDescent="0.25">
      <c r="A24" s="3" t="s">
        <v>19</v>
      </c>
      <c r="B24" s="3" t="s">
        <v>43</v>
      </c>
      <c r="C24" s="4">
        <v>45964</v>
      </c>
      <c r="D24" s="3" t="s">
        <v>21</v>
      </c>
      <c r="E24" s="3" t="s">
        <v>38</v>
      </c>
      <c r="F24" s="3" t="s">
        <v>220</v>
      </c>
      <c r="G24" s="3" t="s">
        <v>24</v>
      </c>
      <c r="H24" s="3" t="s">
        <v>25</v>
      </c>
      <c r="I24" s="3" t="s">
        <v>232</v>
      </c>
      <c r="J24" s="3" t="s">
        <v>233</v>
      </c>
      <c r="K24" s="3" t="s">
        <v>28</v>
      </c>
      <c r="L24" s="3" t="s">
        <v>29</v>
      </c>
      <c r="M24" s="8">
        <v>1</v>
      </c>
      <c r="N24" s="9">
        <v>3.5</v>
      </c>
      <c r="O24" s="8">
        <v>156.52000000000001</v>
      </c>
    </row>
    <row r="25" spans="1:15" x14ac:dyDescent="0.25">
      <c r="A25" s="3" t="s">
        <v>19</v>
      </c>
      <c r="B25" s="3" t="s">
        <v>43</v>
      </c>
      <c r="C25" s="4">
        <v>45968</v>
      </c>
      <c r="D25" s="3" t="s">
        <v>21</v>
      </c>
      <c r="E25" s="3" t="s">
        <v>44</v>
      </c>
      <c r="F25" s="3" t="s">
        <v>220</v>
      </c>
      <c r="G25" s="3" t="s">
        <v>24</v>
      </c>
      <c r="H25" s="3" t="s">
        <v>25</v>
      </c>
      <c r="I25" s="3" t="s">
        <v>234</v>
      </c>
      <c r="J25" s="3" t="s">
        <v>235</v>
      </c>
      <c r="K25" s="3" t="s">
        <v>33</v>
      </c>
      <c r="L25" s="3" t="s">
        <v>47</v>
      </c>
      <c r="M25" s="8">
        <v>1</v>
      </c>
      <c r="N25" s="9">
        <v>4.8</v>
      </c>
      <c r="O25" s="8">
        <v>214.66</v>
      </c>
    </row>
    <row r="26" spans="1:15" x14ac:dyDescent="0.25">
      <c r="A26" s="3" t="s">
        <v>19</v>
      </c>
      <c r="B26" s="3" t="s">
        <v>43</v>
      </c>
      <c r="C26" s="4">
        <v>45971</v>
      </c>
      <c r="D26" s="3" t="s">
        <v>21</v>
      </c>
      <c r="E26" s="3" t="s">
        <v>38</v>
      </c>
      <c r="F26" s="3" t="s">
        <v>220</v>
      </c>
      <c r="G26" s="3" t="s">
        <v>24</v>
      </c>
      <c r="H26" s="3" t="s">
        <v>25</v>
      </c>
      <c r="I26" s="3" t="s">
        <v>26</v>
      </c>
      <c r="J26" s="3" t="s">
        <v>236</v>
      </c>
      <c r="K26" s="3" t="s">
        <v>28</v>
      </c>
      <c r="L26" s="3" t="s">
        <v>29</v>
      </c>
      <c r="M26" s="8">
        <v>1</v>
      </c>
      <c r="N26" s="9">
        <v>4.62</v>
      </c>
      <c r="O26" s="8">
        <v>206.61</v>
      </c>
    </row>
    <row r="27" spans="1:15" x14ac:dyDescent="0.25">
      <c r="A27" s="3" t="s">
        <v>19</v>
      </c>
      <c r="B27" s="3" t="s">
        <v>43</v>
      </c>
      <c r="C27" s="4">
        <v>45971</v>
      </c>
      <c r="D27" s="3" t="s">
        <v>21</v>
      </c>
      <c r="E27" s="3" t="s">
        <v>38</v>
      </c>
      <c r="F27" s="3" t="s">
        <v>220</v>
      </c>
      <c r="G27" s="3" t="s">
        <v>24</v>
      </c>
      <c r="H27" s="3" t="s">
        <v>25</v>
      </c>
      <c r="I27" s="3" t="s">
        <v>26</v>
      </c>
      <c r="J27" s="3" t="s">
        <v>237</v>
      </c>
      <c r="K27" s="3" t="s">
        <v>28</v>
      </c>
      <c r="L27" s="3" t="s">
        <v>29</v>
      </c>
      <c r="M27" s="8">
        <v>1</v>
      </c>
      <c r="N27" s="9">
        <v>4.32</v>
      </c>
      <c r="O27" s="8">
        <v>193.19</v>
      </c>
    </row>
    <row r="28" spans="1:15" x14ac:dyDescent="0.25">
      <c r="A28" s="3" t="s">
        <v>19</v>
      </c>
      <c r="B28" s="3" t="s">
        <v>43</v>
      </c>
      <c r="C28" s="4">
        <v>45975</v>
      </c>
      <c r="D28" s="3" t="s">
        <v>21</v>
      </c>
      <c r="E28" s="3" t="s">
        <v>44</v>
      </c>
      <c r="F28" s="3" t="s">
        <v>220</v>
      </c>
      <c r="G28" s="3" t="s">
        <v>24</v>
      </c>
      <c r="H28" s="3" t="s">
        <v>25</v>
      </c>
      <c r="I28" s="3" t="s">
        <v>238</v>
      </c>
      <c r="J28" s="3" t="s">
        <v>239</v>
      </c>
      <c r="K28" s="3" t="s">
        <v>115</v>
      </c>
      <c r="L28" s="3" t="s">
        <v>34</v>
      </c>
      <c r="M28" s="8">
        <v>1</v>
      </c>
      <c r="N28" s="9">
        <v>2.96</v>
      </c>
      <c r="O28" s="8">
        <v>132.37</v>
      </c>
    </row>
    <row r="29" spans="1:15" x14ac:dyDescent="0.25">
      <c r="A29" s="3" t="s">
        <v>19</v>
      </c>
      <c r="B29" s="3" t="s">
        <v>43</v>
      </c>
      <c r="C29" s="4">
        <v>45975</v>
      </c>
      <c r="D29" s="3" t="s">
        <v>21</v>
      </c>
      <c r="E29" s="3" t="s">
        <v>44</v>
      </c>
      <c r="F29" s="3" t="s">
        <v>220</v>
      </c>
      <c r="G29" s="3" t="s">
        <v>24</v>
      </c>
      <c r="H29" s="3" t="s">
        <v>25</v>
      </c>
      <c r="I29" s="3" t="s">
        <v>240</v>
      </c>
      <c r="J29" s="3" t="s">
        <v>241</v>
      </c>
      <c r="K29" s="3" t="s">
        <v>115</v>
      </c>
      <c r="L29" s="3" t="s">
        <v>34</v>
      </c>
      <c r="M29" s="8">
        <v>1</v>
      </c>
      <c r="N29" s="9">
        <v>6.24</v>
      </c>
      <c r="O29" s="8">
        <v>279.06</v>
      </c>
    </row>
    <row r="30" spans="1:15" x14ac:dyDescent="0.25">
      <c r="A30" s="3" t="s">
        <v>19</v>
      </c>
      <c r="B30" s="3" t="s">
        <v>43</v>
      </c>
      <c r="C30" s="4">
        <v>45976</v>
      </c>
      <c r="D30" s="3" t="s">
        <v>21</v>
      </c>
      <c r="E30" s="3" t="s">
        <v>22</v>
      </c>
      <c r="F30" s="3" t="s">
        <v>220</v>
      </c>
      <c r="G30" s="3" t="s">
        <v>24</v>
      </c>
      <c r="H30" s="3" t="s">
        <v>25</v>
      </c>
      <c r="I30" s="3" t="s">
        <v>26</v>
      </c>
      <c r="J30" s="3" t="s">
        <v>242</v>
      </c>
      <c r="K30" s="3" t="s">
        <v>28</v>
      </c>
      <c r="L30" s="3" t="s">
        <v>29</v>
      </c>
      <c r="M30" s="8">
        <v>1</v>
      </c>
      <c r="N30" s="9">
        <v>2.2999999999999998</v>
      </c>
      <c r="O30" s="8">
        <v>102.86</v>
      </c>
    </row>
    <row r="31" spans="1:15" x14ac:dyDescent="0.25">
      <c r="A31" s="3" t="s">
        <v>19</v>
      </c>
      <c r="B31" s="3" t="s">
        <v>43</v>
      </c>
      <c r="C31" s="4">
        <v>45978</v>
      </c>
      <c r="D31" s="3" t="s">
        <v>21</v>
      </c>
      <c r="E31" s="3" t="s">
        <v>38</v>
      </c>
      <c r="F31" s="3" t="s">
        <v>220</v>
      </c>
      <c r="G31" s="3" t="s">
        <v>24</v>
      </c>
      <c r="H31" s="3" t="s">
        <v>25</v>
      </c>
      <c r="I31" s="3" t="s">
        <v>26</v>
      </c>
      <c r="J31" s="3" t="s">
        <v>243</v>
      </c>
      <c r="K31" s="3" t="s">
        <v>28</v>
      </c>
      <c r="L31" s="3" t="s">
        <v>29</v>
      </c>
      <c r="M31" s="8">
        <v>1</v>
      </c>
      <c r="N31" s="9">
        <v>2.16</v>
      </c>
      <c r="O31" s="8">
        <v>96.6</v>
      </c>
    </row>
    <row r="32" spans="1:15" x14ac:dyDescent="0.25">
      <c r="A32" s="3" t="s">
        <v>19</v>
      </c>
      <c r="B32" s="3" t="s">
        <v>43</v>
      </c>
      <c r="C32" s="4">
        <v>45983</v>
      </c>
      <c r="D32" s="3" t="s">
        <v>21</v>
      </c>
      <c r="E32" s="3" t="s">
        <v>22</v>
      </c>
      <c r="F32" s="3" t="s">
        <v>220</v>
      </c>
      <c r="G32" s="3" t="s">
        <v>24</v>
      </c>
      <c r="H32" s="3" t="s">
        <v>25</v>
      </c>
      <c r="I32" s="3" t="s">
        <v>26</v>
      </c>
      <c r="J32" s="3" t="s">
        <v>244</v>
      </c>
      <c r="K32" s="3" t="s">
        <v>28</v>
      </c>
      <c r="L32" s="3" t="s">
        <v>29</v>
      </c>
      <c r="M32" s="8">
        <v>1</v>
      </c>
      <c r="N32" s="9">
        <v>4.82</v>
      </c>
      <c r="O32" s="8">
        <v>215.55</v>
      </c>
    </row>
    <row r="33" spans="1:15" x14ac:dyDescent="0.25">
      <c r="A33" s="3" t="s">
        <v>19</v>
      </c>
      <c r="B33" s="3" t="s">
        <v>43</v>
      </c>
      <c r="C33" s="4">
        <v>45989</v>
      </c>
      <c r="D33" s="3" t="s">
        <v>21</v>
      </c>
      <c r="E33" s="3" t="s">
        <v>44</v>
      </c>
      <c r="F33" s="3" t="s">
        <v>220</v>
      </c>
      <c r="G33" s="3" t="s">
        <v>24</v>
      </c>
      <c r="H33" s="3" t="s">
        <v>25</v>
      </c>
      <c r="I33" s="3" t="s">
        <v>245</v>
      </c>
      <c r="J33" s="3" t="s">
        <v>246</v>
      </c>
      <c r="K33" s="3" t="s">
        <v>67</v>
      </c>
      <c r="L33" s="3" t="s">
        <v>47</v>
      </c>
      <c r="M33" s="8">
        <v>1</v>
      </c>
      <c r="N33" s="9">
        <v>4.8</v>
      </c>
      <c r="O33" s="8">
        <v>214.66</v>
      </c>
    </row>
    <row r="34" spans="1:15" x14ac:dyDescent="0.25">
      <c r="A34" s="10" t="s">
        <v>1</v>
      </c>
      <c r="B34" s="10" t="s">
        <v>55</v>
      </c>
      <c r="C34" s="10" t="s">
        <v>1</v>
      </c>
      <c r="D34" s="10" t="s">
        <v>1</v>
      </c>
      <c r="E34" s="10" t="s">
        <v>1</v>
      </c>
      <c r="F34" s="10" t="s">
        <v>1</v>
      </c>
      <c r="G34" s="10" t="s">
        <v>1</v>
      </c>
      <c r="H34" s="10" t="s">
        <v>1</v>
      </c>
      <c r="I34" s="10" t="s">
        <v>1</v>
      </c>
      <c r="J34" s="10" t="s">
        <v>1</v>
      </c>
      <c r="K34" s="10" t="s">
        <v>1</v>
      </c>
      <c r="L34" s="10" t="s">
        <v>1</v>
      </c>
      <c r="M34" s="11">
        <v>10</v>
      </c>
      <c r="N34" s="11">
        <v>40.520000000000003</v>
      </c>
      <c r="O34" s="11">
        <v>1812.09</v>
      </c>
    </row>
    <row r="35" spans="1:15" x14ac:dyDescent="0.25">
      <c r="B35" s="2" t="s">
        <v>1</v>
      </c>
    </row>
    <row r="36" spans="1:15" x14ac:dyDescent="0.25">
      <c r="B36" s="2" t="s">
        <v>73</v>
      </c>
    </row>
    <row r="37" spans="1:15" x14ac:dyDescent="0.25">
      <c r="B37" s="2" t="s">
        <v>1</v>
      </c>
    </row>
    <row r="38" spans="1:15" x14ac:dyDescent="0.25">
      <c r="A38" s="6" t="s">
        <v>4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  <c r="G38" s="6" t="s">
        <v>10</v>
      </c>
      <c r="H38" s="6" t="s">
        <v>11</v>
      </c>
      <c r="I38" s="6" t="s">
        <v>12</v>
      </c>
      <c r="J38" s="6" t="s">
        <v>13</v>
      </c>
      <c r="K38" s="6" t="s">
        <v>14</v>
      </c>
      <c r="L38" s="6" t="s">
        <v>15</v>
      </c>
      <c r="M38" s="6" t="s">
        <v>16</v>
      </c>
      <c r="N38" s="6" t="s">
        <v>17</v>
      </c>
      <c r="O38" s="6" t="s">
        <v>18</v>
      </c>
    </row>
    <row r="39" spans="1:15" x14ac:dyDescent="0.25">
      <c r="A39" s="3" t="s">
        <v>19</v>
      </c>
      <c r="B39" s="3" t="s">
        <v>74</v>
      </c>
      <c r="C39" s="4">
        <v>45964</v>
      </c>
      <c r="D39" s="3" t="s">
        <v>21</v>
      </c>
      <c r="E39" s="3" t="s">
        <v>38</v>
      </c>
      <c r="F39" s="3" t="s">
        <v>220</v>
      </c>
      <c r="G39" s="3" t="s">
        <v>59</v>
      </c>
      <c r="H39" s="3" t="s">
        <v>25</v>
      </c>
      <c r="I39" s="3" t="s">
        <v>247</v>
      </c>
      <c r="J39" s="3" t="s">
        <v>248</v>
      </c>
      <c r="K39" s="3" t="s">
        <v>71</v>
      </c>
      <c r="L39" s="3" t="s">
        <v>63</v>
      </c>
      <c r="M39" s="8">
        <v>1</v>
      </c>
      <c r="N39" s="9">
        <v>1.76</v>
      </c>
      <c r="O39" s="8">
        <v>78.709999999999994</v>
      </c>
    </row>
    <row r="40" spans="1:15" x14ac:dyDescent="0.25">
      <c r="A40" s="3" t="s">
        <v>19</v>
      </c>
      <c r="B40" s="3" t="s">
        <v>74</v>
      </c>
      <c r="C40" s="4">
        <v>45964</v>
      </c>
      <c r="D40" s="3" t="s">
        <v>21</v>
      </c>
      <c r="E40" s="3" t="s">
        <v>38</v>
      </c>
      <c r="F40" s="3" t="s">
        <v>220</v>
      </c>
      <c r="G40" s="3" t="s">
        <v>59</v>
      </c>
      <c r="H40" s="3" t="s">
        <v>25</v>
      </c>
      <c r="I40" s="3" t="s">
        <v>26</v>
      </c>
      <c r="J40" s="3" t="s">
        <v>249</v>
      </c>
      <c r="K40" s="3" t="s">
        <v>71</v>
      </c>
      <c r="L40" s="3" t="s">
        <v>63</v>
      </c>
      <c r="M40" s="8">
        <v>1</v>
      </c>
      <c r="N40" s="9">
        <v>5.56</v>
      </c>
      <c r="O40" s="8">
        <v>248.65</v>
      </c>
    </row>
    <row r="41" spans="1:15" x14ac:dyDescent="0.25">
      <c r="A41" s="3" t="s">
        <v>19</v>
      </c>
      <c r="B41" s="3" t="s">
        <v>74</v>
      </c>
      <c r="C41" s="4">
        <v>45967</v>
      </c>
      <c r="D41" s="3" t="s">
        <v>21</v>
      </c>
      <c r="E41" s="3" t="s">
        <v>30</v>
      </c>
      <c r="F41" s="3" t="s">
        <v>220</v>
      </c>
      <c r="G41" s="3" t="s">
        <v>59</v>
      </c>
      <c r="H41" s="3" t="s">
        <v>25</v>
      </c>
      <c r="I41" s="3" t="s">
        <v>250</v>
      </c>
      <c r="J41" s="3" t="s">
        <v>251</v>
      </c>
      <c r="K41" s="3" t="s">
        <v>51</v>
      </c>
      <c r="L41" s="3" t="s">
        <v>52</v>
      </c>
      <c r="M41" s="8">
        <v>1</v>
      </c>
      <c r="N41" s="9">
        <v>3.58</v>
      </c>
      <c r="O41" s="8">
        <v>160.1</v>
      </c>
    </row>
    <row r="42" spans="1:15" x14ac:dyDescent="0.25">
      <c r="A42" s="3" t="s">
        <v>19</v>
      </c>
      <c r="B42" s="3" t="s">
        <v>74</v>
      </c>
      <c r="C42" s="4">
        <v>45969</v>
      </c>
      <c r="D42" s="3" t="s">
        <v>21</v>
      </c>
      <c r="E42" s="3" t="s">
        <v>22</v>
      </c>
      <c r="F42" s="3" t="s">
        <v>220</v>
      </c>
      <c r="G42" s="3" t="s">
        <v>59</v>
      </c>
      <c r="H42" s="3" t="s">
        <v>25</v>
      </c>
      <c r="I42" s="3" t="s">
        <v>26</v>
      </c>
      <c r="J42" s="3" t="s">
        <v>252</v>
      </c>
      <c r="K42" s="3" t="s">
        <v>201</v>
      </c>
      <c r="L42" s="3" t="s">
        <v>202</v>
      </c>
      <c r="M42" s="8">
        <v>1</v>
      </c>
      <c r="N42" s="9">
        <v>3.6</v>
      </c>
      <c r="O42" s="8">
        <v>160.99</v>
      </c>
    </row>
    <row r="43" spans="1:15" x14ac:dyDescent="0.25">
      <c r="A43" s="3" t="s">
        <v>19</v>
      </c>
      <c r="B43" s="3" t="s">
        <v>74</v>
      </c>
      <c r="C43" s="4">
        <v>45971</v>
      </c>
      <c r="D43" s="3" t="s">
        <v>21</v>
      </c>
      <c r="E43" s="3" t="s">
        <v>38</v>
      </c>
      <c r="F43" s="3" t="s">
        <v>220</v>
      </c>
      <c r="G43" s="3" t="s">
        <v>59</v>
      </c>
      <c r="H43" s="3" t="s">
        <v>25</v>
      </c>
      <c r="I43" s="3" t="s">
        <v>26</v>
      </c>
      <c r="J43" s="3" t="s">
        <v>253</v>
      </c>
      <c r="K43" s="3" t="s">
        <v>33</v>
      </c>
      <c r="L43" s="3" t="s">
        <v>63</v>
      </c>
      <c r="M43" s="8">
        <v>1</v>
      </c>
      <c r="N43" s="9">
        <v>4.96</v>
      </c>
      <c r="O43" s="8">
        <v>221.82</v>
      </c>
    </row>
    <row r="44" spans="1:15" x14ac:dyDescent="0.25">
      <c r="A44" s="3" t="s">
        <v>19</v>
      </c>
      <c r="B44" s="3" t="s">
        <v>74</v>
      </c>
      <c r="C44" s="4">
        <v>45974</v>
      </c>
      <c r="D44" s="3" t="s">
        <v>21</v>
      </c>
      <c r="E44" s="3" t="s">
        <v>30</v>
      </c>
      <c r="F44" s="3" t="s">
        <v>220</v>
      </c>
      <c r="G44" s="3" t="s">
        <v>59</v>
      </c>
      <c r="H44" s="3" t="s">
        <v>25</v>
      </c>
      <c r="I44" s="3" t="s">
        <v>26</v>
      </c>
      <c r="J44" s="3" t="s">
        <v>254</v>
      </c>
      <c r="K44" s="3" t="s">
        <v>33</v>
      </c>
      <c r="L44" s="3" t="s">
        <v>34</v>
      </c>
      <c r="M44" s="8">
        <v>1</v>
      </c>
      <c r="N44" s="9">
        <v>4.28</v>
      </c>
      <c r="O44" s="8">
        <v>191.41</v>
      </c>
    </row>
    <row r="45" spans="1:15" x14ac:dyDescent="0.25">
      <c r="A45" s="3" t="s">
        <v>19</v>
      </c>
      <c r="B45" s="3" t="s">
        <v>74</v>
      </c>
      <c r="C45" s="4">
        <v>45976</v>
      </c>
      <c r="D45" s="3" t="s">
        <v>21</v>
      </c>
      <c r="E45" s="3" t="s">
        <v>22</v>
      </c>
      <c r="F45" s="3" t="s">
        <v>220</v>
      </c>
      <c r="G45" s="3" t="s">
        <v>59</v>
      </c>
      <c r="H45" s="3" t="s">
        <v>25</v>
      </c>
      <c r="I45" s="3" t="s">
        <v>26</v>
      </c>
      <c r="J45" s="3" t="s">
        <v>255</v>
      </c>
      <c r="K45" s="3" t="s">
        <v>51</v>
      </c>
      <c r="L45" s="3" t="s">
        <v>52</v>
      </c>
      <c r="M45" s="8">
        <v>1</v>
      </c>
      <c r="N45" s="9">
        <v>3.7</v>
      </c>
      <c r="O45" s="8">
        <v>165.47</v>
      </c>
    </row>
    <row r="46" spans="1:15" x14ac:dyDescent="0.25">
      <c r="A46" s="3" t="s">
        <v>19</v>
      </c>
      <c r="B46" s="3" t="s">
        <v>74</v>
      </c>
      <c r="C46" s="4">
        <v>45983</v>
      </c>
      <c r="D46" s="3" t="s">
        <v>21</v>
      </c>
      <c r="E46" s="3" t="s">
        <v>22</v>
      </c>
      <c r="F46" s="3" t="s">
        <v>220</v>
      </c>
      <c r="G46" s="3" t="s">
        <v>59</v>
      </c>
      <c r="H46" s="3" t="s">
        <v>25</v>
      </c>
      <c r="I46" s="3" t="s">
        <v>26</v>
      </c>
      <c r="J46" s="3" t="s">
        <v>256</v>
      </c>
      <c r="K46" s="3" t="s">
        <v>33</v>
      </c>
      <c r="L46" s="3" t="s">
        <v>109</v>
      </c>
      <c r="M46" s="8">
        <v>1</v>
      </c>
      <c r="N46" s="9">
        <v>7.02</v>
      </c>
      <c r="O46" s="8">
        <v>313.94</v>
      </c>
    </row>
    <row r="47" spans="1:15" x14ac:dyDescent="0.25">
      <c r="A47" s="3" t="s">
        <v>19</v>
      </c>
      <c r="B47" s="3" t="s">
        <v>74</v>
      </c>
      <c r="C47" s="4">
        <v>45985</v>
      </c>
      <c r="D47" s="3" t="s">
        <v>21</v>
      </c>
      <c r="E47" s="3" t="s">
        <v>38</v>
      </c>
      <c r="F47" s="3" t="s">
        <v>220</v>
      </c>
      <c r="G47" s="3" t="s">
        <v>59</v>
      </c>
      <c r="H47" s="3" t="s">
        <v>25</v>
      </c>
      <c r="I47" s="3" t="s">
        <v>257</v>
      </c>
      <c r="J47" s="3" t="s">
        <v>258</v>
      </c>
      <c r="K47" s="3" t="s">
        <v>105</v>
      </c>
      <c r="L47" s="3" t="s">
        <v>106</v>
      </c>
      <c r="M47" s="8">
        <v>1</v>
      </c>
      <c r="N47" s="9">
        <v>4.78</v>
      </c>
      <c r="O47" s="8">
        <v>213.77</v>
      </c>
    </row>
    <row r="48" spans="1:15" x14ac:dyDescent="0.25">
      <c r="A48" s="3" t="s">
        <v>19</v>
      </c>
      <c r="B48" s="3" t="s">
        <v>74</v>
      </c>
      <c r="C48" s="4">
        <v>45986</v>
      </c>
      <c r="D48" s="3" t="s">
        <v>21</v>
      </c>
      <c r="E48" s="3" t="s">
        <v>58</v>
      </c>
      <c r="F48" s="3" t="s">
        <v>220</v>
      </c>
      <c r="G48" s="3" t="s">
        <v>59</v>
      </c>
      <c r="H48" s="3" t="s">
        <v>25</v>
      </c>
      <c r="I48" s="3" t="s">
        <v>259</v>
      </c>
      <c r="J48" s="3" t="s">
        <v>260</v>
      </c>
      <c r="K48" s="3" t="s">
        <v>67</v>
      </c>
      <c r="L48" s="3" t="s">
        <v>68</v>
      </c>
      <c r="M48" s="8">
        <v>1</v>
      </c>
      <c r="N48" s="9">
        <v>2.8</v>
      </c>
      <c r="O48" s="8">
        <v>125.22</v>
      </c>
    </row>
    <row r="49" spans="1:15" x14ac:dyDescent="0.25">
      <c r="A49" s="3" t="s">
        <v>19</v>
      </c>
      <c r="B49" s="3" t="s">
        <v>74</v>
      </c>
      <c r="C49" s="4">
        <v>45990</v>
      </c>
      <c r="D49" s="3" t="s">
        <v>21</v>
      </c>
      <c r="E49" s="3" t="s">
        <v>22</v>
      </c>
      <c r="F49" s="3" t="s">
        <v>220</v>
      </c>
      <c r="G49" s="3" t="s">
        <v>59</v>
      </c>
      <c r="H49" s="3" t="s">
        <v>25</v>
      </c>
      <c r="I49" s="3" t="s">
        <v>26</v>
      </c>
      <c r="J49" s="3" t="s">
        <v>261</v>
      </c>
      <c r="K49" s="3" t="s">
        <v>51</v>
      </c>
      <c r="L49" s="3" t="s">
        <v>65</v>
      </c>
      <c r="M49" s="8">
        <v>1</v>
      </c>
      <c r="N49" s="9">
        <v>3.12</v>
      </c>
      <c r="O49" s="8">
        <v>139.53</v>
      </c>
    </row>
    <row r="50" spans="1:15" x14ac:dyDescent="0.25">
      <c r="A50" s="10" t="s">
        <v>1</v>
      </c>
      <c r="B50" s="10" t="s">
        <v>78</v>
      </c>
      <c r="C50" s="10" t="s">
        <v>1</v>
      </c>
      <c r="D50" s="10" t="s">
        <v>1</v>
      </c>
      <c r="E50" s="10" t="s">
        <v>1</v>
      </c>
      <c r="F50" s="10" t="s">
        <v>1</v>
      </c>
      <c r="G50" s="10" t="s">
        <v>1</v>
      </c>
      <c r="H50" s="10" t="s">
        <v>1</v>
      </c>
      <c r="I50" s="10" t="s">
        <v>1</v>
      </c>
      <c r="J50" s="10" t="s">
        <v>1</v>
      </c>
      <c r="K50" s="10" t="s">
        <v>1</v>
      </c>
      <c r="L50" s="10" t="s">
        <v>1</v>
      </c>
      <c r="M50" s="11">
        <v>11</v>
      </c>
      <c r="N50" s="11">
        <v>45.16</v>
      </c>
      <c r="O50" s="11">
        <v>2019.59</v>
      </c>
    </row>
    <row r="51" spans="1:15" x14ac:dyDescent="0.25">
      <c r="A51" s="5" t="s">
        <v>1</v>
      </c>
      <c r="B51" s="5" t="s">
        <v>262</v>
      </c>
      <c r="C51" s="5" t="s">
        <v>1</v>
      </c>
      <c r="D51" s="5" t="s">
        <v>1</v>
      </c>
      <c r="E51" s="5" t="s">
        <v>1</v>
      </c>
      <c r="F51" s="5" t="s">
        <v>1</v>
      </c>
      <c r="G51" s="5" t="s">
        <v>1</v>
      </c>
      <c r="H51" s="5" t="s">
        <v>1</v>
      </c>
      <c r="I51" s="5" t="s">
        <v>1</v>
      </c>
      <c r="J51" s="5" t="s">
        <v>1</v>
      </c>
      <c r="K51" s="5" t="s">
        <v>1</v>
      </c>
      <c r="L51" s="5" t="s">
        <v>1</v>
      </c>
      <c r="M51" s="8">
        <v>27</v>
      </c>
      <c r="N51" s="9">
        <v>106.7</v>
      </c>
      <c r="O51" s="8">
        <v>4771.71</v>
      </c>
    </row>
    <row r="52" spans="1:15" x14ac:dyDescent="0.25">
      <c r="A52" s="10" t="s">
        <v>1</v>
      </c>
      <c r="B52" s="10" t="s">
        <v>263</v>
      </c>
      <c r="C52" s="10" t="s">
        <v>1</v>
      </c>
      <c r="D52" s="10" t="s">
        <v>1</v>
      </c>
      <c r="E52" s="10" t="s">
        <v>1</v>
      </c>
      <c r="F52" s="10" t="s">
        <v>1</v>
      </c>
      <c r="G52" s="10" t="s">
        <v>1</v>
      </c>
      <c r="H52" s="10" t="s">
        <v>1</v>
      </c>
      <c r="I52" s="10" t="s">
        <v>1</v>
      </c>
      <c r="J52" s="10" t="s">
        <v>1</v>
      </c>
      <c r="K52" s="10" t="s">
        <v>1</v>
      </c>
      <c r="L52" s="10" t="s">
        <v>1</v>
      </c>
      <c r="M52" s="11">
        <v>27</v>
      </c>
      <c r="N52" s="11">
        <v>106.7</v>
      </c>
      <c r="O52" s="11">
        <v>4771.71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32"/>
  <sheetViews>
    <sheetView topLeftCell="A7" workbookViewId="0"/>
  </sheetViews>
  <sheetFormatPr baseColWidth="10" defaultColWidth="9.140625" defaultRowHeight="15" x14ac:dyDescent="0.25"/>
  <cols>
    <col min="1" max="1" width="23.5703125" bestFit="1" customWidth="1"/>
    <col min="2" max="2" width="68.42578125" bestFit="1" customWidth="1"/>
    <col min="3" max="3" width="9.28515625" bestFit="1" customWidth="1"/>
    <col min="4" max="4" width="6" bestFit="1" customWidth="1"/>
    <col min="5" max="5" width="8.140625" bestFit="1" customWidth="1"/>
    <col min="6" max="6" width="30.7109375" bestFit="1" customWidth="1"/>
    <col min="7" max="7" width="37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282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4" t="s">
        <v>19</v>
      </c>
      <c r="B13" s="14" t="s">
        <v>20</v>
      </c>
      <c r="C13" s="7">
        <v>45977</v>
      </c>
      <c r="D13" s="14" t="s">
        <v>21</v>
      </c>
      <c r="E13" s="14" t="s">
        <v>85</v>
      </c>
      <c r="F13" s="14" t="s">
        <v>283</v>
      </c>
      <c r="G13" s="14" t="s">
        <v>24</v>
      </c>
      <c r="H13" s="14" t="s">
        <v>25</v>
      </c>
      <c r="I13" s="14" t="s">
        <v>26</v>
      </c>
      <c r="J13" s="14" t="s">
        <v>284</v>
      </c>
      <c r="K13" s="14" t="s">
        <v>28</v>
      </c>
      <c r="L13" s="14" t="s">
        <v>29</v>
      </c>
      <c r="M13" s="15">
        <v>1</v>
      </c>
      <c r="N13" s="15">
        <v>2.92</v>
      </c>
      <c r="O13" s="15">
        <v>159.6</v>
      </c>
    </row>
    <row r="14" spans="1:15" x14ac:dyDescent="0.25">
      <c r="A14" s="10" t="s">
        <v>1</v>
      </c>
      <c r="B14" s="10" t="s">
        <v>41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2.92</v>
      </c>
      <c r="O14" s="11">
        <v>159.6</v>
      </c>
    </row>
    <row r="15" spans="1:15" x14ac:dyDescent="0.25">
      <c r="B15" s="2" t="s">
        <v>1</v>
      </c>
    </row>
    <row r="16" spans="1:15" x14ac:dyDescent="0.25">
      <c r="B16" s="2" t="s">
        <v>42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2" t="s">
        <v>19</v>
      </c>
      <c r="B19" s="12" t="s">
        <v>43</v>
      </c>
      <c r="C19" s="7">
        <v>45962</v>
      </c>
      <c r="D19" s="12" t="s">
        <v>82</v>
      </c>
      <c r="E19" s="12" t="s">
        <v>22</v>
      </c>
      <c r="F19" s="12" t="s">
        <v>283</v>
      </c>
      <c r="G19" s="12" t="s">
        <v>24</v>
      </c>
      <c r="H19" s="12" t="s">
        <v>25</v>
      </c>
      <c r="I19" s="12" t="s">
        <v>26</v>
      </c>
      <c r="J19" s="12" t="s">
        <v>285</v>
      </c>
      <c r="K19" s="12" t="s">
        <v>28</v>
      </c>
      <c r="L19" s="12" t="s">
        <v>29</v>
      </c>
      <c r="M19" s="13">
        <v>1</v>
      </c>
      <c r="N19" s="13">
        <v>3.14</v>
      </c>
      <c r="O19" s="13">
        <v>171.62</v>
      </c>
    </row>
    <row r="20" spans="1:15" x14ac:dyDescent="0.25">
      <c r="A20" s="14" t="s">
        <v>19</v>
      </c>
      <c r="B20" s="14" t="s">
        <v>43</v>
      </c>
      <c r="C20" s="7">
        <v>45977</v>
      </c>
      <c r="D20" s="14" t="s">
        <v>21</v>
      </c>
      <c r="E20" s="14" t="s">
        <v>85</v>
      </c>
      <c r="F20" s="14" t="s">
        <v>283</v>
      </c>
      <c r="G20" s="14" t="s">
        <v>24</v>
      </c>
      <c r="H20" s="14" t="s">
        <v>25</v>
      </c>
      <c r="I20" s="14" t="s">
        <v>26</v>
      </c>
      <c r="J20" s="14" t="s">
        <v>286</v>
      </c>
      <c r="K20" s="14" t="s">
        <v>28</v>
      </c>
      <c r="L20" s="14" t="s">
        <v>29</v>
      </c>
      <c r="M20" s="15">
        <v>1</v>
      </c>
      <c r="N20" s="15">
        <v>3.7</v>
      </c>
      <c r="O20" s="15">
        <v>202.23</v>
      </c>
    </row>
    <row r="21" spans="1:15" x14ac:dyDescent="0.25">
      <c r="A21" s="14" t="s">
        <v>19</v>
      </c>
      <c r="B21" s="14" t="s">
        <v>43</v>
      </c>
      <c r="C21" s="7">
        <v>45984</v>
      </c>
      <c r="D21" s="14" t="s">
        <v>21</v>
      </c>
      <c r="E21" s="14" t="s">
        <v>85</v>
      </c>
      <c r="F21" s="14" t="s">
        <v>283</v>
      </c>
      <c r="G21" s="14" t="s">
        <v>24</v>
      </c>
      <c r="H21" s="14" t="s">
        <v>25</v>
      </c>
      <c r="I21" s="14" t="s">
        <v>26</v>
      </c>
      <c r="J21" s="14" t="s">
        <v>287</v>
      </c>
      <c r="K21" s="14" t="s">
        <v>28</v>
      </c>
      <c r="L21" s="14" t="s">
        <v>29</v>
      </c>
      <c r="M21" s="15">
        <v>1</v>
      </c>
      <c r="N21" s="15">
        <v>4</v>
      </c>
      <c r="O21" s="15">
        <v>218.63</v>
      </c>
    </row>
    <row r="22" spans="1:15" x14ac:dyDescent="0.25">
      <c r="A22" s="10" t="s">
        <v>1</v>
      </c>
      <c r="B22" s="10" t="s">
        <v>55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1">
        <v>3</v>
      </c>
      <c r="N22" s="11">
        <v>10.84</v>
      </c>
      <c r="O22" s="11">
        <v>592.48</v>
      </c>
    </row>
    <row r="23" spans="1:15" x14ac:dyDescent="0.25">
      <c r="B23" s="2" t="s">
        <v>1</v>
      </c>
    </row>
    <row r="24" spans="1:15" x14ac:dyDescent="0.25">
      <c r="B24" s="2" t="s">
        <v>73</v>
      </c>
    </row>
    <row r="25" spans="1:15" x14ac:dyDescent="0.25">
      <c r="B25" s="2" t="s">
        <v>1</v>
      </c>
    </row>
    <row r="26" spans="1:15" x14ac:dyDescent="0.25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  <c r="M26" s="6" t="s">
        <v>16</v>
      </c>
      <c r="N26" s="6" t="s">
        <v>17</v>
      </c>
      <c r="O26" s="6" t="s">
        <v>18</v>
      </c>
    </row>
    <row r="27" spans="1:15" x14ac:dyDescent="0.25">
      <c r="A27" s="12" t="s">
        <v>19</v>
      </c>
      <c r="B27" s="12" t="s">
        <v>74</v>
      </c>
      <c r="C27" s="7">
        <v>45962</v>
      </c>
      <c r="D27" s="12" t="s">
        <v>82</v>
      </c>
      <c r="E27" s="12" t="s">
        <v>22</v>
      </c>
      <c r="F27" s="12" t="s">
        <v>283</v>
      </c>
      <c r="G27" s="12" t="s">
        <v>59</v>
      </c>
      <c r="H27" s="12" t="s">
        <v>25</v>
      </c>
      <c r="I27" s="12" t="s">
        <v>26</v>
      </c>
      <c r="J27" s="12" t="s">
        <v>288</v>
      </c>
      <c r="K27" s="12" t="s">
        <v>51</v>
      </c>
      <c r="L27" s="12" t="s">
        <v>52</v>
      </c>
      <c r="M27" s="13">
        <v>1</v>
      </c>
      <c r="N27" s="13">
        <v>4.04</v>
      </c>
      <c r="O27" s="13">
        <v>220.82</v>
      </c>
    </row>
    <row r="28" spans="1:15" x14ac:dyDescent="0.25">
      <c r="A28" s="12" t="s">
        <v>19</v>
      </c>
      <c r="B28" s="12" t="s">
        <v>74</v>
      </c>
      <c r="C28" s="7">
        <v>45972</v>
      </c>
      <c r="D28" s="12" t="s">
        <v>82</v>
      </c>
      <c r="E28" s="12" t="s">
        <v>58</v>
      </c>
      <c r="F28" s="12" t="s">
        <v>283</v>
      </c>
      <c r="G28" s="12" t="s">
        <v>59</v>
      </c>
      <c r="H28" s="12" t="s">
        <v>25</v>
      </c>
      <c r="I28" s="12" t="s">
        <v>26</v>
      </c>
      <c r="J28" s="12" t="s">
        <v>289</v>
      </c>
      <c r="K28" s="12" t="s">
        <v>33</v>
      </c>
      <c r="L28" s="12" t="s">
        <v>109</v>
      </c>
      <c r="M28" s="13">
        <v>1</v>
      </c>
      <c r="N28" s="13">
        <v>3.16</v>
      </c>
      <c r="O28" s="13">
        <v>172.72</v>
      </c>
    </row>
    <row r="29" spans="1:15" x14ac:dyDescent="0.25">
      <c r="A29" s="14" t="s">
        <v>19</v>
      </c>
      <c r="B29" s="14" t="s">
        <v>74</v>
      </c>
      <c r="C29" s="7">
        <v>45977</v>
      </c>
      <c r="D29" s="14" t="s">
        <v>21</v>
      </c>
      <c r="E29" s="14" t="s">
        <v>85</v>
      </c>
      <c r="F29" s="14" t="s">
        <v>283</v>
      </c>
      <c r="G29" s="14" t="s">
        <v>59</v>
      </c>
      <c r="H29" s="14" t="s">
        <v>25</v>
      </c>
      <c r="I29" s="14" t="s">
        <v>26</v>
      </c>
      <c r="J29" s="14" t="s">
        <v>290</v>
      </c>
      <c r="K29" s="14" t="s">
        <v>28</v>
      </c>
      <c r="L29" s="14" t="s">
        <v>29</v>
      </c>
      <c r="M29" s="15">
        <v>1</v>
      </c>
      <c r="N29" s="15">
        <v>5.48</v>
      </c>
      <c r="O29" s="15">
        <v>299.52</v>
      </c>
    </row>
    <row r="30" spans="1:15" x14ac:dyDescent="0.25">
      <c r="A30" s="10" t="s">
        <v>1</v>
      </c>
      <c r="B30" s="10" t="s">
        <v>78</v>
      </c>
      <c r="C30" s="10" t="s">
        <v>1</v>
      </c>
      <c r="D30" s="10" t="s">
        <v>1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1">
        <v>3</v>
      </c>
      <c r="N30" s="11">
        <v>12.68</v>
      </c>
      <c r="O30" s="11">
        <v>693.06</v>
      </c>
    </row>
    <row r="31" spans="1:15" x14ac:dyDescent="0.25">
      <c r="A31" s="5" t="s">
        <v>1</v>
      </c>
      <c r="B31" s="5" t="s">
        <v>291</v>
      </c>
      <c r="C31" s="5" t="s">
        <v>1</v>
      </c>
      <c r="D31" s="5" t="s">
        <v>1</v>
      </c>
      <c r="E31" s="5" t="s">
        <v>1</v>
      </c>
      <c r="F31" s="5" t="s">
        <v>1</v>
      </c>
      <c r="G31" s="5" t="s">
        <v>1</v>
      </c>
      <c r="H31" s="5" t="s">
        <v>1</v>
      </c>
      <c r="I31" s="5" t="s">
        <v>1</v>
      </c>
      <c r="J31" s="5" t="s">
        <v>1</v>
      </c>
      <c r="K31" s="5" t="s">
        <v>1</v>
      </c>
      <c r="L31" s="5" t="s">
        <v>1</v>
      </c>
      <c r="M31" s="8">
        <v>7</v>
      </c>
      <c r="N31" s="9">
        <v>26.44</v>
      </c>
      <c r="O31" s="8">
        <v>1445.14</v>
      </c>
    </row>
    <row r="32" spans="1:15" x14ac:dyDescent="0.25">
      <c r="A32" s="10" t="s">
        <v>1</v>
      </c>
      <c r="B32" s="10" t="s">
        <v>292</v>
      </c>
      <c r="C32" s="10" t="s">
        <v>1</v>
      </c>
      <c r="D32" s="10" t="s">
        <v>1</v>
      </c>
      <c r="E32" s="10" t="s">
        <v>1</v>
      </c>
      <c r="F32" s="10" t="s">
        <v>1</v>
      </c>
      <c r="G32" s="10" t="s">
        <v>1</v>
      </c>
      <c r="H32" s="10" t="s">
        <v>1</v>
      </c>
      <c r="I32" s="10" t="s">
        <v>1</v>
      </c>
      <c r="J32" s="10" t="s">
        <v>1</v>
      </c>
      <c r="K32" s="10" t="s">
        <v>1</v>
      </c>
      <c r="L32" s="10" t="s">
        <v>1</v>
      </c>
      <c r="M32" s="11">
        <v>7</v>
      </c>
      <c r="N32" s="11">
        <v>26.44</v>
      </c>
      <c r="O32" s="11">
        <v>1445.14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29"/>
  <sheetViews>
    <sheetView workbookViewId="0"/>
  </sheetViews>
  <sheetFormatPr baseColWidth="10" defaultColWidth="9.140625" defaultRowHeight="15" x14ac:dyDescent="0.25"/>
  <cols>
    <col min="1" max="1" width="23.5703125" bestFit="1" customWidth="1"/>
    <col min="2" max="2" width="49.85546875" bestFit="1" customWidth="1"/>
    <col min="3" max="3" width="9.28515625" bestFit="1" customWidth="1"/>
    <col min="4" max="4" width="6" bestFit="1" customWidth="1"/>
    <col min="5" max="5" width="7.5703125" bestFit="1" customWidth="1"/>
    <col min="6" max="6" width="15.85546875" bestFit="1" customWidth="1"/>
    <col min="7" max="7" width="9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855468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293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20</v>
      </c>
      <c r="C13" s="4">
        <v>45985</v>
      </c>
      <c r="D13" s="3" t="s">
        <v>21</v>
      </c>
      <c r="E13" s="3" t="s">
        <v>38</v>
      </c>
      <c r="F13" s="3" t="s">
        <v>294</v>
      </c>
      <c r="G13" s="3" t="s">
        <v>98</v>
      </c>
      <c r="H13" s="3" t="s">
        <v>25</v>
      </c>
      <c r="I13" s="3" t="s">
        <v>295</v>
      </c>
      <c r="J13" s="3" t="s">
        <v>296</v>
      </c>
      <c r="K13" s="3" t="s">
        <v>28</v>
      </c>
      <c r="L13" s="3" t="s">
        <v>29</v>
      </c>
      <c r="M13" s="8">
        <v>1</v>
      </c>
      <c r="N13" s="9">
        <v>4.92</v>
      </c>
      <c r="O13" s="8">
        <v>361.78</v>
      </c>
    </row>
    <row r="14" spans="1:15" x14ac:dyDescent="0.25">
      <c r="A14" s="10" t="s">
        <v>1</v>
      </c>
      <c r="B14" s="10" t="s">
        <v>41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4.92</v>
      </c>
      <c r="O14" s="11">
        <v>361.78</v>
      </c>
    </row>
    <row r="15" spans="1:15" x14ac:dyDescent="0.25">
      <c r="B15" s="2" t="s">
        <v>1</v>
      </c>
    </row>
    <row r="16" spans="1:15" x14ac:dyDescent="0.25">
      <c r="B16" s="2" t="s">
        <v>42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3" t="s">
        <v>19</v>
      </c>
      <c r="B19" s="3" t="s">
        <v>43</v>
      </c>
      <c r="C19" s="4">
        <v>45985</v>
      </c>
      <c r="D19" s="3" t="s">
        <v>21</v>
      </c>
      <c r="E19" s="3" t="s">
        <v>38</v>
      </c>
      <c r="F19" s="3" t="s">
        <v>294</v>
      </c>
      <c r="G19" s="3" t="s">
        <v>98</v>
      </c>
      <c r="H19" s="3" t="s">
        <v>25</v>
      </c>
      <c r="I19" s="3" t="s">
        <v>297</v>
      </c>
      <c r="J19" s="3" t="s">
        <v>298</v>
      </c>
      <c r="K19" s="3" t="s">
        <v>28</v>
      </c>
      <c r="L19" s="3" t="s">
        <v>29</v>
      </c>
      <c r="M19" s="8">
        <v>1</v>
      </c>
      <c r="N19" s="9">
        <v>3.14</v>
      </c>
      <c r="O19" s="8">
        <v>230.89</v>
      </c>
    </row>
    <row r="20" spans="1:15" x14ac:dyDescent="0.25">
      <c r="A20" s="10" t="s">
        <v>1</v>
      </c>
      <c r="B20" s="10" t="s">
        <v>55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3.14</v>
      </c>
      <c r="O20" s="11">
        <v>230.89</v>
      </c>
    </row>
    <row r="21" spans="1:15" x14ac:dyDescent="0.25">
      <c r="B21" s="2" t="s">
        <v>1</v>
      </c>
    </row>
    <row r="22" spans="1:15" x14ac:dyDescent="0.25">
      <c r="B22" s="2" t="s">
        <v>56</v>
      </c>
    </row>
    <row r="23" spans="1:15" x14ac:dyDescent="0.25">
      <c r="B23" s="2" t="s">
        <v>1</v>
      </c>
    </row>
    <row r="24" spans="1:15" x14ac:dyDescent="0.25">
      <c r="A24" s="6" t="s">
        <v>4</v>
      </c>
      <c r="B24" s="6" t="s">
        <v>5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</row>
    <row r="25" spans="1:15" x14ac:dyDescent="0.25">
      <c r="A25" s="3" t="s">
        <v>19</v>
      </c>
      <c r="B25" s="3" t="s">
        <v>57</v>
      </c>
      <c r="C25" s="4">
        <v>45968</v>
      </c>
      <c r="D25" s="3" t="s">
        <v>21</v>
      </c>
      <c r="E25" s="3" t="s">
        <v>44</v>
      </c>
      <c r="F25" s="3" t="s">
        <v>294</v>
      </c>
      <c r="G25" s="3" t="s">
        <v>98</v>
      </c>
      <c r="H25" s="3" t="s">
        <v>25</v>
      </c>
      <c r="I25" s="3" t="s">
        <v>299</v>
      </c>
      <c r="J25" s="3" t="s">
        <v>300</v>
      </c>
      <c r="K25" s="3" t="s">
        <v>62</v>
      </c>
      <c r="L25" s="3" t="s">
        <v>65</v>
      </c>
      <c r="M25" s="8">
        <v>1</v>
      </c>
      <c r="N25" s="9">
        <v>3.28</v>
      </c>
      <c r="O25" s="8">
        <v>241.19</v>
      </c>
    </row>
    <row r="26" spans="1:15" x14ac:dyDescent="0.25">
      <c r="A26" s="3" t="s">
        <v>19</v>
      </c>
      <c r="B26" s="3" t="s">
        <v>57</v>
      </c>
      <c r="C26" s="4">
        <v>45980</v>
      </c>
      <c r="D26" s="3" t="s">
        <v>21</v>
      </c>
      <c r="E26" s="3" t="s">
        <v>35</v>
      </c>
      <c r="F26" s="3" t="s">
        <v>294</v>
      </c>
      <c r="G26" s="3" t="s">
        <v>98</v>
      </c>
      <c r="H26" s="3" t="s">
        <v>25</v>
      </c>
      <c r="I26" s="3" t="s">
        <v>301</v>
      </c>
      <c r="J26" s="3" t="s">
        <v>302</v>
      </c>
      <c r="K26" s="3" t="s">
        <v>33</v>
      </c>
      <c r="L26" s="3" t="s">
        <v>47</v>
      </c>
      <c r="M26" s="8">
        <v>1</v>
      </c>
      <c r="N26" s="9">
        <v>2.64</v>
      </c>
      <c r="O26" s="8">
        <v>194.13</v>
      </c>
    </row>
    <row r="27" spans="1:15" x14ac:dyDescent="0.25">
      <c r="A27" s="10" t="s">
        <v>1</v>
      </c>
      <c r="B27" s="10" t="s">
        <v>72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1">
        <v>2</v>
      </c>
      <c r="N27" s="11">
        <v>5.92</v>
      </c>
      <c r="O27" s="11">
        <v>435.32</v>
      </c>
    </row>
    <row r="28" spans="1:15" x14ac:dyDescent="0.25">
      <c r="A28" s="5" t="s">
        <v>1</v>
      </c>
      <c r="B28" s="5" t="s">
        <v>303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1</v>
      </c>
      <c r="J28" s="5" t="s">
        <v>1</v>
      </c>
      <c r="K28" s="5" t="s">
        <v>1</v>
      </c>
      <c r="L28" s="5" t="s">
        <v>1</v>
      </c>
      <c r="M28" s="8">
        <v>4</v>
      </c>
      <c r="N28" s="9">
        <v>13.98</v>
      </c>
      <c r="O28" s="8">
        <v>1027.99</v>
      </c>
    </row>
    <row r="29" spans="1:15" x14ac:dyDescent="0.25">
      <c r="A29" s="10" t="s">
        <v>1</v>
      </c>
      <c r="B29" s="10" t="s">
        <v>304</v>
      </c>
      <c r="C29" s="10" t="s">
        <v>1</v>
      </c>
      <c r="D29" s="10" t="s">
        <v>1</v>
      </c>
      <c r="E29" s="10" t="s">
        <v>1</v>
      </c>
      <c r="F29" s="10" t="s">
        <v>1</v>
      </c>
      <c r="G29" s="10" t="s">
        <v>1</v>
      </c>
      <c r="H29" s="10" t="s">
        <v>1</v>
      </c>
      <c r="I29" s="10" t="s">
        <v>1</v>
      </c>
      <c r="J29" s="10" t="s">
        <v>1</v>
      </c>
      <c r="K29" s="10" t="s">
        <v>1</v>
      </c>
      <c r="L29" s="10" t="s">
        <v>1</v>
      </c>
      <c r="M29" s="11">
        <v>4</v>
      </c>
      <c r="N29" s="11">
        <v>13.98</v>
      </c>
      <c r="O29" s="11">
        <v>1027.99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22"/>
  <sheetViews>
    <sheetView workbookViewId="0"/>
  </sheetViews>
  <sheetFormatPr baseColWidth="10" defaultColWidth="9.140625" defaultRowHeight="15" x14ac:dyDescent="0.25"/>
  <cols>
    <col min="1" max="1" width="23.5703125" bestFit="1" customWidth="1"/>
    <col min="2" max="2" width="75.85546875" bestFit="1" customWidth="1"/>
    <col min="3" max="3" width="9.28515625" bestFit="1" customWidth="1"/>
    <col min="4" max="4" width="6" bestFit="1" customWidth="1"/>
    <col min="5" max="5" width="5.28515625" bestFit="1" customWidth="1"/>
    <col min="6" max="6" width="36.5703125" bestFit="1" customWidth="1"/>
    <col min="7" max="7" width="9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855468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305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42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19</v>
      </c>
      <c r="B13" s="12" t="s">
        <v>43</v>
      </c>
      <c r="C13" s="7">
        <v>45972</v>
      </c>
      <c r="D13" s="12" t="s">
        <v>82</v>
      </c>
      <c r="E13" s="12" t="s">
        <v>58</v>
      </c>
      <c r="F13" s="12" t="s">
        <v>306</v>
      </c>
      <c r="G13" s="12" t="s">
        <v>98</v>
      </c>
      <c r="H13" s="12" t="s">
        <v>25</v>
      </c>
      <c r="I13" s="12" t="s">
        <v>307</v>
      </c>
      <c r="J13" s="12" t="s">
        <v>308</v>
      </c>
      <c r="K13" s="12" t="s">
        <v>28</v>
      </c>
      <c r="L13" s="12" t="s">
        <v>29</v>
      </c>
      <c r="M13" s="13">
        <v>1</v>
      </c>
      <c r="N13" s="13">
        <v>3.52</v>
      </c>
      <c r="O13" s="13">
        <v>318.31</v>
      </c>
    </row>
    <row r="14" spans="1:15" x14ac:dyDescent="0.25">
      <c r="A14" s="10" t="s">
        <v>1</v>
      </c>
      <c r="B14" s="10" t="s">
        <v>55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3.52</v>
      </c>
      <c r="O14" s="11">
        <v>318.31</v>
      </c>
    </row>
    <row r="15" spans="1:15" x14ac:dyDescent="0.25">
      <c r="B15" s="2" t="s">
        <v>1</v>
      </c>
    </row>
    <row r="16" spans="1:15" x14ac:dyDescent="0.25">
      <c r="B16" s="2" t="s">
        <v>73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2" t="s">
        <v>19</v>
      </c>
      <c r="B19" s="12" t="s">
        <v>74</v>
      </c>
      <c r="C19" s="7">
        <v>45972</v>
      </c>
      <c r="D19" s="12" t="s">
        <v>82</v>
      </c>
      <c r="E19" s="12" t="s">
        <v>58</v>
      </c>
      <c r="F19" s="12" t="s">
        <v>306</v>
      </c>
      <c r="G19" s="12" t="s">
        <v>98</v>
      </c>
      <c r="H19" s="12" t="s">
        <v>25</v>
      </c>
      <c r="I19" s="12" t="s">
        <v>309</v>
      </c>
      <c r="J19" s="12" t="s">
        <v>310</v>
      </c>
      <c r="K19" s="12" t="s">
        <v>33</v>
      </c>
      <c r="L19" s="12" t="s">
        <v>109</v>
      </c>
      <c r="M19" s="13">
        <v>1</v>
      </c>
      <c r="N19" s="13">
        <v>4.92</v>
      </c>
      <c r="O19" s="13">
        <v>444.92</v>
      </c>
    </row>
    <row r="20" spans="1:15" x14ac:dyDescent="0.25">
      <c r="A20" s="10" t="s">
        <v>1</v>
      </c>
      <c r="B20" s="10" t="s">
        <v>78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4.92</v>
      </c>
      <c r="O20" s="11">
        <v>444.92</v>
      </c>
    </row>
    <row r="21" spans="1:15" x14ac:dyDescent="0.25">
      <c r="A21" s="5" t="s">
        <v>1</v>
      </c>
      <c r="B21" s="5" t="s">
        <v>311</v>
      </c>
      <c r="C21" s="5" t="s">
        <v>1</v>
      </c>
      <c r="D21" s="5" t="s">
        <v>1</v>
      </c>
      <c r="E21" s="5" t="s">
        <v>1</v>
      </c>
      <c r="F21" s="5" t="s">
        <v>1</v>
      </c>
      <c r="G21" s="5" t="s">
        <v>1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  <c r="M21" s="8">
        <v>2</v>
      </c>
      <c r="N21" s="9">
        <v>8.44</v>
      </c>
      <c r="O21" s="8">
        <v>763.23</v>
      </c>
    </row>
    <row r="22" spans="1:15" x14ac:dyDescent="0.25">
      <c r="A22" s="10" t="s">
        <v>1</v>
      </c>
      <c r="B22" s="10" t="s">
        <v>312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1">
        <v>2</v>
      </c>
      <c r="N22" s="11">
        <v>8.44</v>
      </c>
      <c r="O22" s="11">
        <v>763.23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51"/>
  <sheetViews>
    <sheetView tabSelected="1" topLeftCell="A22" workbookViewId="0">
      <selection activeCell="N55" sqref="N55"/>
    </sheetView>
  </sheetViews>
  <sheetFormatPr baseColWidth="10" defaultColWidth="9.140625" defaultRowHeight="15" x14ac:dyDescent="0.25"/>
  <cols>
    <col min="1" max="1" width="23.5703125" bestFit="1" customWidth="1"/>
    <col min="2" max="2" width="48.28515625" bestFit="1" customWidth="1"/>
    <col min="3" max="3" width="9.28515625" bestFit="1" customWidth="1"/>
    <col min="4" max="4" width="6" bestFit="1" customWidth="1"/>
    <col min="5" max="5" width="7.5703125" bestFit="1" customWidth="1"/>
    <col min="6" max="6" width="14.5703125" bestFit="1" customWidth="1"/>
    <col min="7" max="7" width="37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313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314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20</v>
      </c>
      <c r="C13" s="4">
        <v>45966</v>
      </c>
      <c r="D13" s="3" t="s">
        <v>21</v>
      </c>
      <c r="E13" s="3" t="s">
        <v>35</v>
      </c>
      <c r="F13" s="3" t="s">
        <v>315</v>
      </c>
      <c r="G13" s="3" t="s">
        <v>24</v>
      </c>
      <c r="H13" s="3" t="s">
        <v>316</v>
      </c>
      <c r="I13" s="3" t="s">
        <v>317</v>
      </c>
      <c r="J13" s="3" t="s">
        <v>318</v>
      </c>
      <c r="K13" s="3" t="s">
        <v>28</v>
      </c>
      <c r="L13" s="3" t="s">
        <v>29</v>
      </c>
      <c r="M13" s="8">
        <v>1</v>
      </c>
      <c r="N13" s="9">
        <v>7.72</v>
      </c>
      <c r="O13" s="8">
        <v>92.06</v>
      </c>
    </row>
    <row r="14" spans="1:15" x14ac:dyDescent="0.25">
      <c r="A14" s="3" t="s">
        <v>19</v>
      </c>
      <c r="B14" s="3" t="s">
        <v>20</v>
      </c>
      <c r="C14" s="4">
        <v>45973</v>
      </c>
      <c r="D14" s="3" t="s">
        <v>21</v>
      </c>
      <c r="E14" s="3" t="s">
        <v>35</v>
      </c>
      <c r="F14" s="3" t="s">
        <v>315</v>
      </c>
      <c r="G14" s="3" t="s">
        <v>24</v>
      </c>
      <c r="H14" s="3" t="s">
        <v>316</v>
      </c>
      <c r="I14" s="3" t="s">
        <v>319</v>
      </c>
      <c r="J14" s="3" t="s">
        <v>320</v>
      </c>
      <c r="K14" s="3" t="s">
        <v>28</v>
      </c>
      <c r="L14" s="3" t="s">
        <v>29</v>
      </c>
      <c r="M14" s="8">
        <v>1</v>
      </c>
      <c r="N14" s="9">
        <v>5.88</v>
      </c>
      <c r="O14" s="8">
        <v>70.11</v>
      </c>
    </row>
    <row r="15" spans="1:15" x14ac:dyDescent="0.25">
      <c r="A15" s="3" t="s">
        <v>19</v>
      </c>
      <c r="B15" s="3" t="s">
        <v>20</v>
      </c>
      <c r="C15" s="4">
        <v>45989</v>
      </c>
      <c r="D15" s="3" t="s">
        <v>21</v>
      </c>
      <c r="E15" s="3" t="s">
        <v>44</v>
      </c>
      <c r="F15" s="3" t="s">
        <v>315</v>
      </c>
      <c r="G15" s="3" t="s">
        <v>321</v>
      </c>
      <c r="H15" s="3" t="s">
        <v>316</v>
      </c>
      <c r="I15" s="3" t="s">
        <v>322</v>
      </c>
      <c r="J15" s="3" t="s">
        <v>323</v>
      </c>
      <c r="K15" s="3" t="s">
        <v>67</v>
      </c>
      <c r="L15" s="3" t="s">
        <v>47</v>
      </c>
      <c r="M15" s="8">
        <v>1</v>
      </c>
      <c r="N15" s="9">
        <v>7.2</v>
      </c>
      <c r="O15" s="8">
        <v>85.85</v>
      </c>
    </row>
    <row r="16" spans="1:15" x14ac:dyDescent="0.25">
      <c r="A16" s="10" t="s">
        <v>1</v>
      </c>
      <c r="B16" s="10" t="s">
        <v>324</v>
      </c>
      <c r="C16" s="10" t="s">
        <v>1</v>
      </c>
      <c r="D16" s="10" t="s">
        <v>1</v>
      </c>
      <c r="E16" s="10" t="s">
        <v>1</v>
      </c>
      <c r="F16" s="10" t="s">
        <v>1</v>
      </c>
      <c r="G16" s="10" t="s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1">
        <v>3</v>
      </c>
      <c r="N16" s="11">
        <v>20.8</v>
      </c>
      <c r="O16" s="11">
        <v>248.03</v>
      </c>
    </row>
    <row r="17" spans="1:15" x14ac:dyDescent="0.25">
      <c r="B17" s="2" t="s">
        <v>1</v>
      </c>
    </row>
    <row r="18" spans="1:15" x14ac:dyDescent="0.25">
      <c r="B18" s="2" t="s">
        <v>325</v>
      </c>
    </row>
    <row r="19" spans="1:15" x14ac:dyDescent="0.25">
      <c r="B19" s="2" t="s">
        <v>1</v>
      </c>
    </row>
    <row r="20" spans="1:15" x14ac:dyDescent="0.25">
      <c r="A20" s="6" t="s">
        <v>4</v>
      </c>
      <c r="B20" s="6" t="s">
        <v>5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</row>
    <row r="21" spans="1:15" x14ac:dyDescent="0.25">
      <c r="A21" s="3" t="s">
        <v>19</v>
      </c>
      <c r="B21" s="3" t="s">
        <v>20</v>
      </c>
      <c r="C21" s="4">
        <v>45980</v>
      </c>
      <c r="D21" s="3" t="s">
        <v>21</v>
      </c>
      <c r="E21" s="3" t="s">
        <v>35</v>
      </c>
      <c r="F21" s="3" t="s">
        <v>315</v>
      </c>
      <c r="G21" s="3" t="s">
        <v>321</v>
      </c>
      <c r="H21" s="3" t="s">
        <v>326</v>
      </c>
      <c r="I21" s="3" t="s">
        <v>327</v>
      </c>
      <c r="J21" s="3" t="s">
        <v>328</v>
      </c>
      <c r="K21" s="3" t="s">
        <v>28</v>
      </c>
      <c r="L21" s="3" t="s">
        <v>29</v>
      </c>
      <c r="M21" s="8">
        <v>1</v>
      </c>
      <c r="N21" s="9">
        <v>5.44</v>
      </c>
      <c r="O21" s="8">
        <v>64.87</v>
      </c>
    </row>
    <row r="22" spans="1:15" x14ac:dyDescent="0.25">
      <c r="A22" s="10" t="s">
        <v>1</v>
      </c>
      <c r="B22" s="10" t="s">
        <v>329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1">
        <v>1</v>
      </c>
      <c r="N22" s="11">
        <v>5.44</v>
      </c>
      <c r="O22" s="11">
        <v>64.87</v>
      </c>
    </row>
    <row r="23" spans="1:15" x14ac:dyDescent="0.25">
      <c r="B23" s="2" t="s">
        <v>1</v>
      </c>
    </row>
    <row r="24" spans="1:15" x14ac:dyDescent="0.25">
      <c r="B24" s="2" t="s">
        <v>330</v>
      </c>
    </row>
    <row r="25" spans="1:15" x14ac:dyDescent="0.25">
      <c r="B25" s="2" t="s">
        <v>1</v>
      </c>
    </row>
    <row r="26" spans="1:15" x14ac:dyDescent="0.25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  <c r="M26" s="6" t="s">
        <v>16</v>
      </c>
      <c r="N26" s="6" t="s">
        <v>17</v>
      </c>
      <c r="O26" s="6" t="s">
        <v>18</v>
      </c>
    </row>
    <row r="27" spans="1:15" x14ac:dyDescent="0.25">
      <c r="A27" s="3" t="s">
        <v>19</v>
      </c>
      <c r="B27" s="3" t="s">
        <v>43</v>
      </c>
      <c r="C27" s="4">
        <v>45964</v>
      </c>
      <c r="D27" s="3" t="s">
        <v>21</v>
      </c>
      <c r="E27" s="3" t="s">
        <v>38</v>
      </c>
      <c r="F27" s="3" t="s">
        <v>315</v>
      </c>
      <c r="G27" s="3" t="s">
        <v>321</v>
      </c>
      <c r="H27" s="3" t="s">
        <v>326</v>
      </c>
      <c r="I27" s="3" t="s">
        <v>331</v>
      </c>
      <c r="J27" s="3" t="s">
        <v>332</v>
      </c>
      <c r="K27" s="3" t="s">
        <v>28</v>
      </c>
      <c r="L27" s="3" t="s">
        <v>29</v>
      </c>
      <c r="M27" s="8">
        <v>1</v>
      </c>
      <c r="N27" s="9">
        <v>7.72</v>
      </c>
      <c r="O27" s="8">
        <v>92.06</v>
      </c>
    </row>
    <row r="28" spans="1:15" x14ac:dyDescent="0.25">
      <c r="A28" s="3" t="s">
        <v>19</v>
      </c>
      <c r="B28" s="3" t="s">
        <v>43</v>
      </c>
      <c r="C28" s="4">
        <v>45971</v>
      </c>
      <c r="D28" s="3" t="s">
        <v>21</v>
      </c>
      <c r="E28" s="3" t="s">
        <v>38</v>
      </c>
      <c r="F28" s="3" t="s">
        <v>315</v>
      </c>
      <c r="G28" s="3" t="s">
        <v>321</v>
      </c>
      <c r="H28" s="3" t="s">
        <v>326</v>
      </c>
      <c r="I28" s="3" t="s">
        <v>26</v>
      </c>
      <c r="J28" s="3" t="s">
        <v>333</v>
      </c>
      <c r="K28" s="3" t="s">
        <v>28</v>
      </c>
      <c r="L28" s="3" t="s">
        <v>29</v>
      </c>
      <c r="M28" s="8">
        <v>1</v>
      </c>
      <c r="N28" s="9">
        <v>8.24</v>
      </c>
      <c r="O28" s="8">
        <v>98.26</v>
      </c>
    </row>
    <row r="29" spans="1:15" x14ac:dyDescent="0.25">
      <c r="A29" s="3" t="s">
        <v>19</v>
      </c>
      <c r="B29" s="3" t="s">
        <v>43</v>
      </c>
      <c r="C29" s="4">
        <v>45979</v>
      </c>
      <c r="D29" s="3" t="s">
        <v>21</v>
      </c>
      <c r="E29" s="3" t="s">
        <v>58</v>
      </c>
      <c r="F29" s="3" t="s">
        <v>315</v>
      </c>
      <c r="G29" s="3" t="s">
        <v>321</v>
      </c>
      <c r="H29" s="3" t="s">
        <v>326</v>
      </c>
      <c r="I29" s="3" t="s">
        <v>26</v>
      </c>
      <c r="J29" s="3" t="s">
        <v>334</v>
      </c>
      <c r="K29" s="3" t="s">
        <v>28</v>
      </c>
      <c r="L29" s="3" t="s">
        <v>29</v>
      </c>
      <c r="M29" s="8">
        <v>1</v>
      </c>
      <c r="N29" s="9">
        <v>11.88</v>
      </c>
      <c r="O29" s="8">
        <v>141.66</v>
      </c>
    </row>
    <row r="30" spans="1:15" x14ac:dyDescent="0.25">
      <c r="A30" s="3" t="s">
        <v>19</v>
      </c>
      <c r="B30" s="3" t="s">
        <v>43</v>
      </c>
      <c r="C30" s="4">
        <v>45987</v>
      </c>
      <c r="D30" s="3" t="s">
        <v>21</v>
      </c>
      <c r="E30" s="3" t="s">
        <v>35</v>
      </c>
      <c r="F30" s="3" t="s">
        <v>315</v>
      </c>
      <c r="G30" s="3" t="s">
        <v>321</v>
      </c>
      <c r="H30" s="3" t="s">
        <v>326</v>
      </c>
      <c r="I30" s="3" t="s">
        <v>335</v>
      </c>
      <c r="J30" s="3" t="s">
        <v>336</v>
      </c>
      <c r="K30" s="3" t="s">
        <v>28</v>
      </c>
      <c r="L30" s="3" t="s">
        <v>29</v>
      </c>
      <c r="M30" s="8">
        <v>1</v>
      </c>
      <c r="N30" s="9">
        <v>10.76</v>
      </c>
      <c r="O30" s="8">
        <v>128.31</v>
      </c>
    </row>
    <row r="31" spans="1:15" x14ac:dyDescent="0.25">
      <c r="A31" s="10" t="s">
        <v>1</v>
      </c>
      <c r="B31" s="10" t="s">
        <v>337</v>
      </c>
      <c r="C31" s="10" t="s">
        <v>1</v>
      </c>
      <c r="D31" s="10" t="s">
        <v>1</v>
      </c>
      <c r="E31" s="10" t="s">
        <v>1</v>
      </c>
      <c r="F31" s="10" t="s">
        <v>1</v>
      </c>
      <c r="G31" s="10" t="s">
        <v>1</v>
      </c>
      <c r="H31" s="10" t="s">
        <v>1</v>
      </c>
      <c r="I31" s="10" t="s">
        <v>1</v>
      </c>
      <c r="J31" s="10" t="s">
        <v>1</v>
      </c>
      <c r="K31" s="10" t="s">
        <v>1</v>
      </c>
      <c r="L31" s="10" t="s">
        <v>1</v>
      </c>
      <c r="M31" s="11">
        <v>4</v>
      </c>
      <c r="N31" s="11">
        <v>38.6</v>
      </c>
      <c r="O31" s="11">
        <v>460.28</v>
      </c>
    </row>
    <row r="32" spans="1:15" x14ac:dyDescent="0.25">
      <c r="B32" s="2" t="s">
        <v>1</v>
      </c>
    </row>
    <row r="33" spans="1:15" x14ac:dyDescent="0.25">
      <c r="B33" s="2" t="s">
        <v>338</v>
      </c>
    </row>
    <row r="34" spans="1:15" x14ac:dyDescent="0.25">
      <c r="B34" s="2" t="s">
        <v>1</v>
      </c>
    </row>
    <row r="35" spans="1:15" x14ac:dyDescent="0.25">
      <c r="A35" s="6" t="s">
        <v>4</v>
      </c>
      <c r="B35" s="6" t="s">
        <v>5</v>
      </c>
      <c r="C35" s="6" t="s">
        <v>6</v>
      </c>
      <c r="D35" s="6" t="s">
        <v>7</v>
      </c>
      <c r="E35" s="6" t="s">
        <v>8</v>
      </c>
      <c r="F35" s="6" t="s">
        <v>9</v>
      </c>
      <c r="G35" s="6" t="s">
        <v>10</v>
      </c>
      <c r="H35" s="6" t="s">
        <v>11</v>
      </c>
      <c r="I35" s="6" t="s">
        <v>12</v>
      </c>
      <c r="J35" s="6" t="s">
        <v>13</v>
      </c>
      <c r="K35" s="6" t="s">
        <v>14</v>
      </c>
      <c r="L35" s="6" t="s">
        <v>15</v>
      </c>
      <c r="M35" s="6" t="s">
        <v>16</v>
      </c>
      <c r="N35" s="6" t="s">
        <v>17</v>
      </c>
      <c r="O35" s="6" t="s">
        <v>18</v>
      </c>
    </row>
    <row r="36" spans="1:15" x14ac:dyDescent="0.25">
      <c r="A36" s="3" t="s">
        <v>19</v>
      </c>
      <c r="B36" s="3" t="s">
        <v>57</v>
      </c>
      <c r="C36" s="4">
        <v>45965</v>
      </c>
      <c r="D36" s="3" t="s">
        <v>21</v>
      </c>
      <c r="E36" s="3" t="s">
        <v>58</v>
      </c>
      <c r="F36" s="3" t="s">
        <v>315</v>
      </c>
      <c r="G36" s="3" t="s">
        <v>339</v>
      </c>
      <c r="H36" s="3" t="s">
        <v>326</v>
      </c>
      <c r="I36" s="3" t="s">
        <v>26</v>
      </c>
      <c r="J36" s="3" t="s">
        <v>340</v>
      </c>
      <c r="K36" s="3" t="s">
        <v>62</v>
      </c>
      <c r="L36" s="3" t="s">
        <v>63</v>
      </c>
      <c r="M36" s="8">
        <v>1</v>
      </c>
      <c r="N36" s="9">
        <v>7.5</v>
      </c>
      <c r="O36" s="8">
        <v>89.43</v>
      </c>
    </row>
    <row r="37" spans="1:15" x14ac:dyDescent="0.25">
      <c r="A37" s="3" t="s">
        <v>19</v>
      </c>
      <c r="B37" s="3" t="s">
        <v>57</v>
      </c>
      <c r="C37" s="4">
        <v>45967</v>
      </c>
      <c r="D37" s="3" t="s">
        <v>21</v>
      </c>
      <c r="E37" s="3" t="s">
        <v>30</v>
      </c>
      <c r="F37" s="3" t="s">
        <v>315</v>
      </c>
      <c r="G37" s="3" t="s">
        <v>339</v>
      </c>
      <c r="H37" s="3" t="s">
        <v>326</v>
      </c>
      <c r="I37" s="3" t="s">
        <v>341</v>
      </c>
      <c r="J37" s="3" t="s">
        <v>342</v>
      </c>
      <c r="K37" s="3" t="s">
        <v>62</v>
      </c>
      <c r="L37" s="3" t="s">
        <v>63</v>
      </c>
      <c r="M37" s="8">
        <v>1</v>
      </c>
      <c r="N37" s="9">
        <v>6.3</v>
      </c>
      <c r="O37" s="8">
        <v>75.12</v>
      </c>
    </row>
    <row r="38" spans="1:15" x14ac:dyDescent="0.25">
      <c r="A38" s="3" t="s">
        <v>19</v>
      </c>
      <c r="B38" s="3" t="s">
        <v>57</v>
      </c>
      <c r="C38" s="4">
        <v>45975</v>
      </c>
      <c r="D38" s="3" t="s">
        <v>21</v>
      </c>
      <c r="E38" s="3" t="s">
        <v>44</v>
      </c>
      <c r="F38" s="3" t="s">
        <v>315</v>
      </c>
      <c r="G38" s="3" t="s">
        <v>339</v>
      </c>
      <c r="H38" s="3" t="s">
        <v>326</v>
      </c>
      <c r="I38" s="3" t="s">
        <v>343</v>
      </c>
      <c r="J38" s="3" t="s">
        <v>344</v>
      </c>
      <c r="K38" s="3" t="s">
        <v>67</v>
      </c>
      <c r="L38" s="3" t="s">
        <v>68</v>
      </c>
      <c r="M38" s="8">
        <v>1</v>
      </c>
      <c r="N38" s="9">
        <v>8.0500000000000007</v>
      </c>
      <c r="O38" s="8">
        <v>95.99</v>
      </c>
    </row>
    <row r="39" spans="1:15" x14ac:dyDescent="0.25">
      <c r="A39" s="3" t="s">
        <v>19</v>
      </c>
      <c r="B39" s="3" t="s">
        <v>57</v>
      </c>
      <c r="C39" s="4">
        <v>45978</v>
      </c>
      <c r="D39" s="3" t="s">
        <v>21</v>
      </c>
      <c r="E39" s="3" t="s">
        <v>38</v>
      </c>
      <c r="F39" s="3" t="s">
        <v>315</v>
      </c>
      <c r="G39" s="3" t="s">
        <v>339</v>
      </c>
      <c r="H39" s="3" t="s">
        <v>326</v>
      </c>
      <c r="I39" s="3" t="s">
        <v>345</v>
      </c>
      <c r="J39" s="3" t="s">
        <v>346</v>
      </c>
      <c r="K39" s="3" t="s">
        <v>71</v>
      </c>
      <c r="L39" s="3" t="s">
        <v>63</v>
      </c>
      <c r="M39" s="8">
        <v>1</v>
      </c>
      <c r="N39" s="9">
        <v>7.38</v>
      </c>
      <c r="O39" s="8">
        <v>88</v>
      </c>
    </row>
    <row r="40" spans="1:15" x14ac:dyDescent="0.25">
      <c r="A40" s="3" t="s">
        <v>19</v>
      </c>
      <c r="B40" s="3" t="s">
        <v>57</v>
      </c>
      <c r="C40" s="4">
        <v>45980</v>
      </c>
      <c r="D40" s="3" t="s">
        <v>21</v>
      </c>
      <c r="E40" s="3" t="s">
        <v>35</v>
      </c>
      <c r="F40" s="3" t="s">
        <v>315</v>
      </c>
      <c r="G40" s="3" t="s">
        <v>347</v>
      </c>
      <c r="H40" s="3" t="s">
        <v>326</v>
      </c>
      <c r="I40" s="3" t="s">
        <v>348</v>
      </c>
      <c r="J40" s="3" t="s">
        <v>349</v>
      </c>
      <c r="K40" s="3" t="s">
        <v>33</v>
      </c>
      <c r="L40" s="3" t="s">
        <v>47</v>
      </c>
      <c r="M40" s="8">
        <v>1</v>
      </c>
      <c r="N40" s="9">
        <v>3.7</v>
      </c>
      <c r="O40" s="8">
        <v>44.12</v>
      </c>
    </row>
    <row r="41" spans="1:15" x14ac:dyDescent="0.25">
      <c r="A41" s="10" t="s">
        <v>1</v>
      </c>
      <c r="B41" s="10" t="s">
        <v>350</v>
      </c>
      <c r="C41" s="10" t="s">
        <v>1</v>
      </c>
      <c r="D41" s="10" t="s">
        <v>1</v>
      </c>
      <c r="E41" s="10" t="s">
        <v>1</v>
      </c>
      <c r="F41" s="10" t="s">
        <v>1</v>
      </c>
      <c r="G41" s="10" t="s">
        <v>1</v>
      </c>
      <c r="H41" s="10" t="s">
        <v>1</v>
      </c>
      <c r="I41" s="10" t="s">
        <v>1</v>
      </c>
      <c r="J41" s="10" t="s">
        <v>1</v>
      </c>
      <c r="K41" s="10" t="s">
        <v>1</v>
      </c>
      <c r="L41" s="10" t="s">
        <v>1</v>
      </c>
      <c r="M41" s="11">
        <v>5</v>
      </c>
      <c r="N41" s="11">
        <v>32.93</v>
      </c>
      <c r="O41" s="11">
        <v>392.67</v>
      </c>
    </row>
    <row r="42" spans="1:15" x14ac:dyDescent="0.25">
      <c r="B42" s="2" t="s">
        <v>1</v>
      </c>
    </row>
    <row r="43" spans="1:15" x14ac:dyDescent="0.25">
      <c r="B43" s="2" t="s">
        <v>351</v>
      </c>
    </row>
    <row r="44" spans="1:15" x14ac:dyDescent="0.25">
      <c r="B44" s="2" t="s">
        <v>1</v>
      </c>
    </row>
    <row r="45" spans="1:15" x14ac:dyDescent="0.25">
      <c r="A45" s="6" t="s">
        <v>4</v>
      </c>
      <c r="B45" s="6" t="s">
        <v>5</v>
      </c>
      <c r="C45" s="6" t="s">
        <v>6</v>
      </c>
      <c r="D45" s="6" t="s">
        <v>7</v>
      </c>
      <c r="E45" s="6" t="s">
        <v>8</v>
      </c>
      <c r="F45" s="6" t="s">
        <v>9</v>
      </c>
      <c r="G45" s="6" t="s">
        <v>10</v>
      </c>
      <c r="H45" s="6" t="s">
        <v>11</v>
      </c>
      <c r="I45" s="6" t="s">
        <v>12</v>
      </c>
      <c r="J45" s="6" t="s">
        <v>13</v>
      </c>
      <c r="K45" s="6" t="s">
        <v>14</v>
      </c>
      <c r="L45" s="6" t="s">
        <v>15</v>
      </c>
      <c r="M45" s="6" t="s">
        <v>16</v>
      </c>
      <c r="N45" s="6" t="s">
        <v>17</v>
      </c>
      <c r="O45" s="6" t="s">
        <v>18</v>
      </c>
    </row>
    <row r="46" spans="1:15" x14ac:dyDescent="0.25">
      <c r="A46" s="3" t="s">
        <v>19</v>
      </c>
      <c r="B46" s="3" t="s">
        <v>74</v>
      </c>
      <c r="C46" s="4">
        <v>45964</v>
      </c>
      <c r="D46" s="3" t="s">
        <v>21</v>
      </c>
      <c r="E46" s="3" t="s">
        <v>38</v>
      </c>
      <c r="F46" s="3" t="s">
        <v>315</v>
      </c>
      <c r="G46" s="3" t="s">
        <v>339</v>
      </c>
      <c r="H46" s="3" t="s">
        <v>326</v>
      </c>
      <c r="I46" s="3" t="s">
        <v>352</v>
      </c>
      <c r="J46" s="3" t="s">
        <v>353</v>
      </c>
      <c r="K46" s="3" t="s">
        <v>71</v>
      </c>
      <c r="L46" s="3" t="s">
        <v>63</v>
      </c>
      <c r="M46" s="8">
        <v>1</v>
      </c>
      <c r="N46" s="9">
        <v>7.22</v>
      </c>
      <c r="O46" s="8">
        <v>86.09</v>
      </c>
    </row>
    <row r="47" spans="1:15" x14ac:dyDescent="0.25">
      <c r="A47" s="3" t="s">
        <v>19</v>
      </c>
      <c r="B47" s="3" t="s">
        <v>74</v>
      </c>
      <c r="C47" s="4">
        <v>45966</v>
      </c>
      <c r="D47" s="3" t="s">
        <v>21</v>
      </c>
      <c r="E47" s="3" t="s">
        <v>35</v>
      </c>
      <c r="F47" s="3" t="s">
        <v>315</v>
      </c>
      <c r="G47" s="3" t="s">
        <v>339</v>
      </c>
      <c r="H47" s="3" t="s">
        <v>326</v>
      </c>
      <c r="I47" s="3" t="s">
        <v>26</v>
      </c>
      <c r="J47" s="3" t="s">
        <v>354</v>
      </c>
      <c r="K47" s="3" t="s">
        <v>51</v>
      </c>
      <c r="L47" s="3" t="s">
        <v>52</v>
      </c>
      <c r="M47" s="8">
        <v>1</v>
      </c>
      <c r="N47" s="9">
        <v>6.48</v>
      </c>
      <c r="O47" s="8">
        <v>77.27</v>
      </c>
    </row>
    <row r="48" spans="1:15" x14ac:dyDescent="0.25">
      <c r="A48" s="3" t="s">
        <v>19</v>
      </c>
      <c r="B48" s="3" t="s">
        <v>74</v>
      </c>
      <c r="C48" s="4">
        <v>45983</v>
      </c>
      <c r="D48" s="3" t="s">
        <v>21</v>
      </c>
      <c r="E48" s="3" t="s">
        <v>22</v>
      </c>
      <c r="F48" s="3" t="s">
        <v>315</v>
      </c>
      <c r="G48" s="3" t="s">
        <v>339</v>
      </c>
      <c r="H48" s="3" t="s">
        <v>326</v>
      </c>
      <c r="I48" s="3" t="s">
        <v>26</v>
      </c>
      <c r="J48" s="3" t="s">
        <v>355</v>
      </c>
      <c r="K48" s="3" t="s">
        <v>33</v>
      </c>
      <c r="L48" s="3" t="s">
        <v>109</v>
      </c>
      <c r="M48" s="8">
        <v>1</v>
      </c>
      <c r="N48" s="9">
        <v>5.82</v>
      </c>
      <c r="O48" s="8">
        <v>69.400000000000006</v>
      </c>
    </row>
    <row r="49" spans="1:15" x14ac:dyDescent="0.25">
      <c r="A49" s="10" t="s">
        <v>1</v>
      </c>
      <c r="B49" s="10" t="s">
        <v>356</v>
      </c>
      <c r="C49" s="10" t="s">
        <v>1</v>
      </c>
      <c r="D49" s="10" t="s">
        <v>1</v>
      </c>
      <c r="E49" s="10" t="s">
        <v>1</v>
      </c>
      <c r="F49" s="10" t="s">
        <v>1</v>
      </c>
      <c r="G49" s="10" t="s">
        <v>1</v>
      </c>
      <c r="H49" s="10" t="s">
        <v>1</v>
      </c>
      <c r="I49" s="10" t="s">
        <v>1</v>
      </c>
      <c r="J49" s="10" t="s">
        <v>1</v>
      </c>
      <c r="K49" s="10" t="s">
        <v>1</v>
      </c>
      <c r="L49" s="10" t="s">
        <v>1</v>
      </c>
      <c r="M49" s="11">
        <v>3</v>
      </c>
      <c r="N49" s="11">
        <v>19.52</v>
      </c>
      <c r="O49" s="11">
        <v>232.76</v>
      </c>
    </row>
    <row r="50" spans="1:15" x14ac:dyDescent="0.25">
      <c r="A50" s="5" t="s">
        <v>1</v>
      </c>
      <c r="B50" s="5" t="s">
        <v>357</v>
      </c>
      <c r="C50" s="5" t="s">
        <v>1</v>
      </c>
      <c r="D50" s="5" t="s">
        <v>1</v>
      </c>
      <c r="E50" s="5" t="s">
        <v>1</v>
      </c>
      <c r="F50" s="5" t="s">
        <v>1</v>
      </c>
      <c r="G50" s="5" t="s">
        <v>1</v>
      </c>
      <c r="H50" s="5" t="s">
        <v>1</v>
      </c>
      <c r="I50" s="5" t="s">
        <v>1</v>
      </c>
      <c r="J50" s="5" t="s">
        <v>1</v>
      </c>
      <c r="K50" s="5" t="s">
        <v>1</v>
      </c>
      <c r="L50" s="5" t="s">
        <v>1</v>
      </c>
      <c r="M50" s="8">
        <v>16</v>
      </c>
      <c r="N50" s="9">
        <v>117.29</v>
      </c>
      <c r="O50" s="8">
        <v>1398.6</v>
      </c>
    </row>
    <row r="51" spans="1:15" x14ac:dyDescent="0.25">
      <c r="A51" s="10" t="s">
        <v>1</v>
      </c>
      <c r="B51" s="10" t="s">
        <v>358</v>
      </c>
      <c r="C51" s="10" t="s">
        <v>1</v>
      </c>
      <c r="D51" s="10" t="s">
        <v>1</v>
      </c>
      <c r="E51" s="10" t="s">
        <v>1</v>
      </c>
      <c r="F51" s="10" t="s">
        <v>1</v>
      </c>
      <c r="G51" s="10" t="s">
        <v>1</v>
      </c>
      <c r="H51" s="10" t="s">
        <v>1</v>
      </c>
      <c r="I51" s="10" t="s">
        <v>1</v>
      </c>
      <c r="J51" s="10" t="s">
        <v>1</v>
      </c>
      <c r="K51" s="10" t="s">
        <v>1</v>
      </c>
      <c r="L51" s="10" t="s">
        <v>1</v>
      </c>
      <c r="M51" s="11">
        <v>16</v>
      </c>
      <c r="N51" s="11">
        <v>117.29</v>
      </c>
      <c r="O51" s="11">
        <v>1398.6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22"/>
  <sheetViews>
    <sheetView workbookViewId="0"/>
  </sheetViews>
  <sheetFormatPr baseColWidth="10" defaultColWidth="9.140625" defaultRowHeight="15" x14ac:dyDescent="0.25"/>
  <cols>
    <col min="1" max="1" width="23.5703125" bestFit="1" customWidth="1"/>
    <col min="2" max="2" width="71.42578125" bestFit="1" customWidth="1"/>
    <col min="3" max="3" width="9.28515625" bestFit="1" customWidth="1"/>
    <col min="4" max="4" width="6" bestFit="1" customWidth="1"/>
    <col min="5" max="5" width="5.28515625" bestFit="1" customWidth="1"/>
    <col min="6" max="6" width="33.140625" bestFit="1" customWidth="1"/>
    <col min="7" max="7" width="22.42578125" bestFit="1" customWidth="1"/>
    <col min="8" max="8" width="12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71093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359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338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19</v>
      </c>
      <c r="B13" s="12" t="s">
        <v>57</v>
      </c>
      <c r="C13" s="7">
        <v>45972</v>
      </c>
      <c r="D13" s="12" t="s">
        <v>82</v>
      </c>
      <c r="E13" s="12" t="s">
        <v>58</v>
      </c>
      <c r="F13" s="12" t="s">
        <v>360</v>
      </c>
      <c r="G13" s="12" t="s">
        <v>339</v>
      </c>
      <c r="H13" s="12" t="s">
        <v>326</v>
      </c>
      <c r="I13" s="12" t="s">
        <v>26</v>
      </c>
      <c r="J13" s="12" t="s">
        <v>361</v>
      </c>
      <c r="K13" s="12" t="s">
        <v>91</v>
      </c>
      <c r="L13" s="12" t="s">
        <v>92</v>
      </c>
      <c r="M13" s="13">
        <v>1</v>
      </c>
      <c r="N13" s="13">
        <v>8.35</v>
      </c>
      <c r="O13" s="13">
        <v>116.16</v>
      </c>
    </row>
    <row r="14" spans="1:15" x14ac:dyDescent="0.25">
      <c r="A14" s="10" t="s">
        <v>1</v>
      </c>
      <c r="B14" s="10" t="s">
        <v>350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8.35</v>
      </c>
      <c r="O14" s="11">
        <v>116.16</v>
      </c>
    </row>
    <row r="15" spans="1:15" x14ac:dyDescent="0.25">
      <c r="B15" s="2" t="s">
        <v>1</v>
      </c>
    </row>
    <row r="16" spans="1:15" x14ac:dyDescent="0.25">
      <c r="B16" s="2" t="s">
        <v>351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2" t="s">
        <v>19</v>
      </c>
      <c r="B19" s="12" t="s">
        <v>74</v>
      </c>
      <c r="C19" s="7">
        <v>45972</v>
      </c>
      <c r="D19" s="12" t="s">
        <v>82</v>
      </c>
      <c r="E19" s="12" t="s">
        <v>58</v>
      </c>
      <c r="F19" s="12" t="s">
        <v>360</v>
      </c>
      <c r="G19" s="12" t="s">
        <v>339</v>
      </c>
      <c r="H19" s="12" t="s">
        <v>326</v>
      </c>
      <c r="I19" s="12" t="s">
        <v>26</v>
      </c>
      <c r="J19" s="12" t="s">
        <v>362</v>
      </c>
      <c r="K19" s="12" t="s">
        <v>33</v>
      </c>
      <c r="L19" s="12" t="s">
        <v>109</v>
      </c>
      <c r="M19" s="13">
        <v>1</v>
      </c>
      <c r="N19" s="13">
        <v>5.32</v>
      </c>
      <c r="O19" s="13">
        <v>74.010000000000005</v>
      </c>
    </row>
    <row r="20" spans="1:15" x14ac:dyDescent="0.25">
      <c r="A20" s="10" t="s">
        <v>1</v>
      </c>
      <c r="B20" s="10" t="s">
        <v>356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5.32</v>
      </c>
      <c r="O20" s="11">
        <v>74.010000000000005</v>
      </c>
    </row>
    <row r="21" spans="1:15" x14ac:dyDescent="0.25">
      <c r="A21" s="5" t="s">
        <v>1</v>
      </c>
      <c r="B21" s="5" t="s">
        <v>363</v>
      </c>
      <c r="C21" s="5" t="s">
        <v>1</v>
      </c>
      <c r="D21" s="5" t="s">
        <v>1</v>
      </c>
      <c r="E21" s="5" t="s">
        <v>1</v>
      </c>
      <c r="F21" s="5" t="s">
        <v>1</v>
      </c>
      <c r="G21" s="5" t="s">
        <v>1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  <c r="M21" s="8">
        <v>2</v>
      </c>
      <c r="N21" s="9">
        <v>13.67</v>
      </c>
      <c r="O21" s="8">
        <v>190.17</v>
      </c>
    </row>
    <row r="22" spans="1:15" x14ac:dyDescent="0.25">
      <c r="A22" s="10" t="s">
        <v>1</v>
      </c>
      <c r="B22" s="10" t="s">
        <v>364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1">
        <v>2</v>
      </c>
      <c r="N22" s="11">
        <v>13.67</v>
      </c>
      <c r="O22" s="11">
        <v>190.17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29"/>
  <sheetViews>
    <sheetView workbookViewId="0">
      <selection activeCell="E32" sqref="E32"/>
    </sheetView>
  </sheetViews>
  <sheetFormatPr baseColWidth="10" defaultColWidth="9.140625" defaultRowHeight="15" x14ac:dyDescent="0.25"/>
  <cols>
    <col min="1" max="1" width="23.5703125" bestFit="1" customWidth="1"/>
    <col min="2" max="2" width="59.7109375" bestFit="1" customWidth="1"/>
    <col min="3" max="3" width="9.28515625" bestFit="1" customWidth="1"/>
    <col min="4" max="4" width="6" bestFit="1" customWidth="1"/>
    <col min="5" max="5" width="7.5703125" bestFit="1" customWidth="1"/>
    <col min="6" max="6" width="13.28515625" bestFit="1" customWidth="1"/>
    <col min="7" max="7" width="9.42578125" bestFit="1" customWidth="1"/>
    <col min="8" max="8" width="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365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366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19</v>
      </c>
      <c r="B13" s="3" t="s">
        <v>20</v>
      </c>
      <c r="C13" s="4">
        <v>45988</v>
      </c>
      <c r="D13" s="3" t="s">
        <v>21</v>
      </c>
      <c r="E13" s="3" t="s">
        <v>30</v>
      </c>
      <c r="F13" s="3" t="s">
        <v>367</v>
      </c>
      <c r="G13" s="3" t="s">
        <v>98</v>
      </c>
      <c r="H13" s="3" t="s">
        <v>368</v>
      </c>
      <c r="I13" s="3" t="s">
        <v>369</v>
      </c>
      <c r="J13" s="3" t="s">
        <v>370</v>
      </c>
      <c r="K13" s="3" t="s">
        <v>67</v>
      </c>
      <c r="L13" s="3" t="s">
        <v>68</v>
      </c>
      <c r="M13" s="8">
        <v>1</v>
      </c>
      <c r="N13" s="9">
        <v>3.16</v>
      </c>
      <c r="O13" s="8">
        <v>43.96</v>
      </c>
    </row>
    <row r="14" spans="1:15" x14ac:dyDescent="0.25">
      <c r="A14" s="10" t="s">
        <v>1</v>
      </c>
      <c r="B14" s="10" t="s">
        <v>371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3.16</v>
      </c>
      <c r="O14" s="11">
        <v>43.96</v>
      </c>
    </row>
    <row r="15" spans="1:15" x14ac:dyDescent="0.25">
      <c r="B15" s="2" t="s">
        <v>1</v>
      </c>
    </row>
    <row r="16" spans="1:15" x14ac:dyDescent="0.25">
      <c r="B16" s="2" t="s">
        <v>372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3" t="s">
        <v>19</v>
      </c>
      <c r="B19" s="3" t="s">
        <v>43</v>
      </c>
      <c r="C19" s="4">
        <v>45982</v>
      </c>
      <c r="D19" s="3" t="s">
        <v>21</v>
      </c>
      <c r="E19" s="3" t="s">
        <v>44</v>
      </c>
      <c r="F19" s="3" t="s">
        <v>367</v>
      </c>
      <c r="G19" s="3" t="s">
        <v>98</v>
      </c>
      <c r="H19" s="3" t="s">
        <v>368</v>
      </c>
      <c r="I19" s="3" t="s">
        <v>373</v>
      </c>
      <c r="J19" s="3" t="s">
        <v>374</v>
      </c>
      <c r="K19" s="3" t="s">
        <v>201</v>
      </c>
      <c r="L19" s="3" t="s">
        <v>202</v>
      </c>
      <c r="M19" s="8">
        <v>1</v>
      </c>
      <c r="N19" s="9">
        <v>3.28</v>
      </c>
      <c r="O19" s="8">
        <v>45.63</v>
      </c>
    </row>
    <row r="20" spans="1:15" x14ac:dyDescent="0.25">
      <c r="A20" s="10" t="s">
        <v>1</v>
      </c>
      <c r="B20" s="10" t="s">
        <v>375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3.28</v>
      </c>
      <c r="O20" s="11">
        <v>45.63</v>
      </c>
    </row>
    <row r="21" spans="1:15" x14ac:dyDescent="0.25">
      <c r="B21" s="2" t="s">
        <v>1</v>
      </c>
    </row>
    <row r="22" spans="1:15" x14ac:dyDescent="0.25">
      <c r="B22" s="2" t="s">
        <v>376</v>
      </c>
    </row>
    <row r="23" spans="1:15" x14ac:dyDescent="0.25">
      <c r="B23" s="2" t="s">
        <v>1</v>
      </c>
    </row>
    <row r="24" spans="1:15" x14ac:dyDescent="0.25">
      <c r="A24" s="6" t="s">
        <v>4</v>
      </c>
      <c r="B24" s="6" t="s">
        <v>5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</row>
    <row r="25" spans="1:15" x14ac:dyDescent="0.25">
      <c r="A25" s="3" t="s">
        <v>19</v>
      </c>
      <c r="B25" s="3" t="s">
        <v>57</v>
      </c>
      <c r="C25" s="4">
        <v>45975</v>
      </c>
      <c r="D25" s="3" t="s">
        <v>21</v>
      </c>
      <c r="E25" s="3" t="s">
        <v>44</v>
      </c>
      <c r="F25" s="3" t="s">
        <v>367</v>
      </c>
      <c r="G25" s="3" t="s">
        <v>98</v>
      </c>
      <c r="H25" s="3" t="s">
        <v>368</v>
      </c>
      <c r="I25" s="3" t="s">
        <v>377</v>
      </c>
      <c r="J25" s="3" t="s">
        <v>378</v>
      </c>
      <c r="K25" s="3" t="s">
        <v>67</v>
      </c>
      <c r="L25" s="3" t="s">
        <v>68</v>
      </c>
      <c r="M25" s="8">
        <v>1</v>
      </c>
      <c r="N25" s="9">
        <v>2.92</v>
      </c>
      <c r="O25" s="8">
        <v>40.619999999999997</v>
      </c>
    </row>
    <row r="26" spans="1:15" x14ac:dyDescent="0.25">
      <c r="A26" s="3" t="s">
        <v>19</v>
      </c>
      <c r="B26" s="3" t="s">
        <v>57</v>
      </c>
      <c r="C26" s="4">
        <v>45979</v>
      </c>
      <c r="D26" s="3" t="s">
        <v>21</v>
      </c>
      <c r="E26" s="3" t="s">
        <v>58</v>
      </c>
      <c r="F26" s="3" t="s">
        <v>367</v>
      </c>
      <c r="G26" s="3" t="s">
        <v>98</v>
      </c>
      <c r="H26" s="3" t="s">
        <v>368</v>
      </c>
      <c r="I26" s="3" t="s">
        <v>379</v>
      </c>
      <c r="J26" s="3" t="s">
        <v>380</v>
      </c>
      <c r="K26" s="3" t="s">
        <v>51</v>
      </c>
      <c r="L26" s="3" t="s">
        <v>52</v>
      </c>
      <c r="M26" s="8">
        <v>1</v>
      </c>
      <c r="N26" s="9">
        <v>1.84</v>
      </c>
      <c r="O26" s="8">
        <v>25.6</v>
      </c>
    </row>
    <row r="27" spans="1:15" x14ac:dyDescent="0.25">
      <c r="A27" s="10" t="s">
        <v>1</v>
      </c>
      <c r="B27" s="10" t="s">
        <v>381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1">
        <v>2</v>
      </c>
      <c r="N27" s="11">
        <v>4.76</v>
      </c>
      <c r="O27" s="11">
        <v>66.22</v>
      </c>
    </row>
    <row r="28" spans="1:15" x14ac:dyDescent="0.25">
      <c r="A28" s="5" t="s">
        <v>1</v>
      </c>
      <c r="B28" s="5" t="s">
        <v>382</v>
      </c>
      <c r="C28" s="5" t="s">
        <v>1</v>
      </c>
      <c r="D28" s="5" t="s">
        <v>1</v>
      </c>
      <c r="E28" s="5" t="s">
        <v>1</v>
      </c>
      <c r="F28" s="5" t="s">
        <v>1</v>
      </c>
      <c r="G28" s="5" t="s">
        <v>1</v>
      </c>
      <c r="H28" s="5" t="s">
        <v>1</v>
      </c>
      <c r="I28" s="5" t="s">
        <v>1</v>
      </c>
      <c r="J28" s="5" t="s">
        <v>1</v>
      </c>
      <c r="K28" s="5" t="s">
        <v>1</v>
      </c>
      <c r="L28" s="5" t="s">
        <v>1</v>
      </c>
      <c r="M28" s="8">
        <v>4</v>
      </c>
      <c r="N28" s="9">
        <v>11.2</v>
      </c>
      <c r="O28" s="8">
        <v>155.81</v>
      </c>
    </row>
    <row r="29" spans="1:15" x14ac:dyDescent="0.25">
      <c r="A29" s="10" t="s">
        <v>1</v>
      </c>
      <c r="B29" s="10" t="s">
        <v>383</v>
      </c>
      <c r="C29" s="10" t="s">
        <v>1</v>
      </c>
      <c r="D29" s="10" t="s">
        <v>1</v>
      </c>
      <c r="E29" s="10" t="s">
        <v>1</v>
      </c>
      <c r="F29" s="10" t="s">
        <v>1</v>
      </c>
      <c r="G29" s="10" t="s">
        <v>1</v>
      </c>
      <c r="H29" s="10" t="s">
        <v>1</v>
      </c>
      <c r="I29" s="10" t="s">
        <v>1</v>
      </c>
      <c r="J29" s="10" t="s">
        <v>1</v>
      </c>
      <c r="K29" s="10" t="s">
        <v>1</v>
      </c>
      <c r="L29" s="10" t="s">
        <v>1</v>
      </c>
      <c r="M29" s="11">
        <v>4</v>
      </c>
      <c r="N29" s="11">
        <v>11.2</v>
      </c>
      <c r="O29" s="11">
        <v>155.81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62"/>
  <sheetViews>
    <sheetView topLeftCell="A28" workbookViewId="0">
      <selection activeCell="Q24" sqref="Q24"/>
    </sheetView>
  </sheetViews>
  <sheetFormatPr baseColWidth="10" defaultColWidth="9.140625" defaultRowHeight="15" x14ac:dyDescent="0.25"/>
  <cols>
    <col min="1" max="1" width="25.7109375" bestFit="1" customWidth="1"/>
    <col min="2" max="2" width="62.28515625" bestFit="1" customWidth="1"/>
    <col min="3" max="3" width="9.28515625" bestFit="1" customWidth="1"/>
    <col min="4" max="4" width="6" bestFit="1" customWidth="1"/>
    <col min="5" max="5" width="7.5703125" bestFit="1" customWidth="1"/>
    <col min="6" max="6" width="11.85546875" bestFit="1" customWidth="1"/>
    <col min="7" max="7" width="19.8554687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8.855468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384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385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387</v>
      </c>
      <c r="C13" s="4">
        <v>45969</v>
      </c>
      <c r="D13" s="3" t="s">
        <v>21</v>
      </c>
      <c r="E13" s="3" t="s">
        <v>22</v>
      </c>
      <c r="F13" s="3" t="s">
        <v>23</v>
      </c>
      <c r="G13" s="3" t="s">
        <v>388</v>
      </c>
      <c r="H13" s="3" t="s">
        <v>25</v>
      </c>
      <c r="I13" s="3" t="s">
        <v>26</v>
      </c>
      <c r="J13" s="3" t="s">
        <v>389</v>
      </c>
      <c r="K13" s="3" t="s">
        <v>390</v>
      </c>
      <c r="L13" s="3" t="s">
        <v>47</v>
      </c>
      <c r="M13" s="8">
        <v>1</v>
      </c>
      <c r="N13" s="9">
        <v>3.84</v>
      </c>
      <c r="O13" s="8">
        <v>194.62</v>
      </c>
    </row>
    <row r="14" spans="1:15" x14ac:dyDescent="0.25">
      <c r="A14" s="3" t="s">
        <v>386</v>
      </c>
      <c r="B14" s="3" t="s">
        <v>387</v>
      </c>
      <c r="C14" s="4">
        <v>45978</v>
      </c>
      <c r="D14" s="3" t="s">
        <v>21</v>
      </c>
      <c r="E14" s="3" t="s">
        <v>38</v>
      </c>
      <c r="F14" s="3" t="s">
        <v>23</v>
      </c>
      <c r="G14" s="3" t="s">
        <v>388</v>
      </c>
      <c r="H14" s="3" t="s">
        <v>25</v>
      </c>
      <c r="I14" s="3" t="s">
        <v>391</v>
      </c>
      <c r="J14" s="3" t="s">
        <v>392</v>
      </c>
      <c r="K14" s="3" t="s">
        <v>393</v>
      </c>
      <c r="L14" s="3" t="s">
        <v>68</v>
      </c>
      <c r="M14" s="8">
        <v>1</v>
      </c>
      <c r="N14" s="9">
        <v>4.24</v>
      </c>
      <c r="O14" s="8">
        <v>214.9</v>
      </c>
    </row>
    <row r="15" spans="1:15" x14ac:dyDescent="0.25">
      <c r="A15" s="3" t="s">
        <v>386</v>
      </c>
      <c r="B15" s="3" t="s">
        <v>387</v>
      </c>
      <c r="C15" s="4">
        <v>45987</v>
      </c>
      <c r="D15" s="3" t="s">
        <v>21</v>
      </c>
      <c r="E15" s="3" t="s">
        <v>35</v>
      </c>
      <c r="F15" s="3" t="s">
        <v>23</v>
      </c>
      <c r="G15" s="3" t="s">
        <v>388</v>
      </c>
      <c r="H15" s="3" t="s">
        <v>25</v>
      </c>
      <c r="I15" s="3" t="s">
        <v>394</v>
      </c>
      <c r="J15" s="3" t="s">
        <v>395</v>
      </c>
      <c r="K15" s="3" t="s">
        <v>187</v>
      </c>
      <c r="L15" s="3" t="s">
        <v>109</v>
      </c>
      <c r="M15" s="8">
        <v>1</v>
      </c>
      <c r="N15" s="9">
        <v>2.5</v>
      </c>
      <c r="O15" s="8">
        <v>126.71</v>
      </c>
    </row>
    <row r="16" spans="1:15" x14ac:dyDescent="0.25">
      <c r="A16" s="3" t="s">
        <v>386</v>
      </c>
      <c r="B16" s="3" t="s">
        <v>387</v>
      </c>
      <c r="C16" s="4">
        <v>45990</v>
      </c>
      <c r="D16" s="3" t="s">
        <v>21</v>
      </c>
      <c r="E16" s="3" t="s">
        <v>22</v>
      </c>
      <c r="F16" s="3" t="s">
        <v>23</v>
      </c>
      <c r="G16" s="3" t="s">
        <v>388</v>
      </c>
      <c r="H16" s="3" t="s">
        <v>25</v>
      </c>
      <c r="I16" s="3" t="s">
        <v>396</v>
      </c>
      <c r="J16" s="3" t="s">
        <v>397</v>
      </c>
      <c r="K16" s="3" t="s">
        <v>390</v>
      </c>
      <c r="L16" s="3" t="s">
        <v>109</v>
      </c>
      <c r="M16" s="8">
        <v>1</v>
      </c>
      <c r="N16" s="9">
        <v>3.9</v>
      </c>
      <c r="O16" s="8">
        <v>197.66</v>
      </c>
    </row>
    <row r="17" spans="1:15" x14ac:dyDescent="0.25">
      <c r="A17" s="10" t="s">
        <v>1</v>
      </c>
      <c r="B17" s="10" t="s">
        <v>398</v>
      </c>
      <c r="C17" s="10" t="s">
        <v>1</v>
      </c>
      <c r="D17" s="10" t="s">
        <v>1</v>
      </c>
      <c r="E17" s="10" t="s">
        <v>1</v>
      </c>
      <c r="F17" s="10" t="s">
        <v>1</v>
      </c>
      <c r="G17" s="10" t="s">
        <v>1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</v>
      </c>
      <c r="M17" s="11">
        <v>4</v>
      </c>
      <c r="N17" s="11">
        <v>14.48</v>
      </c>
      <c r="O17" s="11">
        <v>733.89</v>
      </c>
    </row>
    <row r="18" spans="1:15" x14ac:dyDescent="0.25">
      <c r="B18" s="2" t="s">
        <v>1</v>
      </c>
    </row>
    <row r="19" spans="1:15" x14ac:dyDescent="0.25">
      <c r="B19" s="2" t="s">
        <v>399</v>
      </c>
    </row>
    <row r="20" spans="1:15" x14ac:dyDescent="0.25">
      <c r="B20" s="2" t="s">
        <v>1</v>
      </c>
    </row>
    <row r="21" spans="1:15" x14ac:dyDescent="0.25">
      <c r="A21" s="6" t="s">
        <v>4</v>
      </c>
      <c r="B21" s="6" t="s">
        <v>5</v>
      </c>
      <c r="C21" s="6" t="s">
        <v>6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11</v>
      </c>
      <c r="I21" s="6" t="s">
        <v>12</v>
      </c>
      <c r="J21" s="6" t="s">
        <v>13</v>
      </c>
      <c r="K21" s="6" t="s">
        <v>14</v>
      </c>
      <c r="L21" s="6" t="s">
        <v>15</v>
      </c>
      <c r="M21" s="6" t="s">
        <v>16</v>
      </c>
      <c r="N21" s="6" t="s">
        <v>17</v>
      </c>
      <c r="O21" s="6" t="s">
        <v>18</v>
      </c>
    </row>
    <row r="22" spans="1:15" x14ac:dyDescent="0.25">
      <c r="A22" s="3" t="s">
        <v>386</v>
      </c>
      <c r="B22" s="3" t="s">
        <v>400</v>
      </c>
      <c r="C22" s="4">
        <v>45965</v>
      </c>
      <c r="D22" s="3" t="s">
        <v>21</v>
      </c>
      <c r="E22" s="3" t="s">
        <v>58</v>
      </c>
      <c r="F22" s="3" t="s">
        <v>23</v>
      </c>
      <c r="G22" s="3" t="s">
        <v>388</v>
      </c>
      <c r="H22" s="3" t="s">
        <v>25</v>
      </c>
      <c r="I22" s="3" t="s">
        <v>401</v>
      </c>
      <c r="J22" s="3" t="s">
        <v>402</v>
      </c>
      <c r="K22" s="3" t="s">
        <v>403</v>
      </c>
      <c r="L22" s="3" t="s">
        <v>404</v>
      </c>
      <c r="M22" s="8">
        <v>1</v>
      </c>
      <c r="N22" s="9">
        <v>2.74</v>
      </c>
      <c r="O22" s="8">
        <v>138.87</v>
      </c>
    </row>
    <row r="23" spans="1:15" x14ac:dyDescent="0.25">
      <c r="A23" s="3" t="s">
        <v>386</v>
      </c>
      <c r="B23" s="3" t="s">
        <v>400</v>
      </c>
      <c r="C23" s="4">
        <v>45973</v>
      </c>
      <c r="D23" s="3" t="s">
        <v>21</v>
      </c>
      <c r="E23" s="3" t="s">
        <v>35</v>
      </c>
      <c r="F23" s="3" t="s">
        <v>23</v>
      </c>
      <c r="G23" s="3" t="s">
        <v>388</v>
      </c>
      <c r="H23" s="3" t="s">
        <v>25</v>
      </c>
      <c r="I23" s="3" t="s">
        <v>405</v>
      </c>
      <c r="J23" s="3" t="s">
        <v>406</v>
      </c>
      <c r="K23" s="3" t="s">
        <v>115</v>
      </c>
      <c r="L23" s="3" t="s">
        <v>34</v>
      </c>
      <c r="M23" s="8">
        <v>1</v>
      </c>
      <c r="N23" s="9">
        <v>2.66</v>
      </c>
      <c r="O23" s="8">
        <v>134.82</v>
      </c>
    </row>
    <row r="24" spans="1:15" x14ac:dyDescent="0.25">
      <c r="A24" s="3" t="s">
        <v>386</v>
      </c>
      <c r="B24" s="3" t="s">
        <v>400</v>
      </c>
      <c r="C24" s="4">
        <v>45975</v>
      </c>
      <c r="D24" s="3" t="s">
        <v>21</v>
      </c>
      <c r="E24" s="3" t="s">
        <v>44</v>
      </c>
      <c r="F24" s="3" t="s">
        <v>23</v>
      </c>
      <c r="G24" s="3" t="s">
        <v>388</v>
      </c>
      <c r="H24" s="3" t="s">
        <v>25</v>
      </c>
      <c r="I24" s="3" t="s">
        <v>407</v>
      </c>
      <c r="J24" s="3" t="s">
        <v>408</v>
      </c>
      <c r="K24" s="3" t="s">
        <v>390</v>
      </c>
      <c r="L24" s="3" t="s">
        <v>63</v>
      </c>
      <c r="M24" s="8">
        <v>1</v>
      </c>
      <c r="N24" s="9">
        <v>1.74</v>
      </c>
      <c r="O24" s="8">
        <v>88.19</v>
      </c>
    </row>
    <row r="25" spans="1:15" x14ac:dyDescent="0.25">
      <c r="A25" s="3" t="s">
        <v>386</v>
      </c>
      <c r="B25" s="3" t="s">
        <v>400</v>
      </c>
      <c r="C25" s="4">
        <v>45981</v>
      </c>
      <c r="D25" s="3" t="s">
        <v>21</v>
      </c>
      <c r="E25" s="3" t="s">
        <v>30</v>
      </c>
      <c r="F25" s="3" t="s">
        <v>23</v>
      </c>
      <c r="G25" s="3" t="s">
        <v>388</v>
      </c>
      <c r="H25" s="3" t="s">
        <v>25</v>
      </c>
      <c r="I25" s="3" t="s">
        <v>409</v>
      </c>
      <c r="J25" s="3" t="s">
        <v>410</v>
      </c>
      <c r="K25" s="3" t="s">
        <v>393</v>
      </c>
      <c r="L25" s="3" t="s">
        <v>68</v>
      </c>
      <c r="M25" s="8">
        <v>1</v>
      </c>
      <c r="N25" s="9">
        <v>3.82</v>
      </c>
      <c r="O25" s="8">
        <v>193.61</v>
      </c>
    </row>
    <row r="26" spans="1:15" x14ac:dyDescent="0.25">
      <c r="A26" s="3" t="s">
        <v>386</v>
      </c>
      <c r="B26" s="3" t="s">
        <v>400</v>
      </c>
      <c r="C26" s="4">
        <v>45985</v>
      </c>
      <c r="D26" s="3" t="s">
        <v>21</v>
      </c>
      <c r="E26" s="3" t="s">
        <v>38</v>
      </c>
      <c r="F26" s="3" t="s">
        <v>23</v>
      </c>
      <c r="G26" s="3" t="s">
        <v>388</v>
      </c>
      <c r="H26" s="3" t="s">
        <v>25</v>
      </c>
      <c r="I26" s="3" t="s">
        <v>411</v>
      </c>
      <c r="J26" s="3" t="s">
        <v>412</v>
      </c>
      <c r="K26" s="3" t="s">
        <v>393</v>
      </c>
      <c r="L26" s="3" t="s">
        <v>65</v>
      </c>
      <c r="M26" s="8">
        <v>1</v>
      </c>
      <c r="N26" s="9">
        <v>5.08</v>
      </c>
      <c r="O26" s="8">
        <v>257.47000000000003</v>
      </c>
    </row>
    <row r="27" spans="1:15" x14ac:dyDescent="0.25">
      <c r="A27" s="3" t="s">
        <v>386</v>
      </c>
      <c r="B27" s="3" t="s">
        <v>400</v>
      </c>
      <c r="C27" s="4">
        <v>45988</v>
      </c>
      <c r="D27" s="3" t="s">
        <v>21</v>
      </c>
      <c r="E27" s="3" t="s">
        <v>30</v>
      </c>
      <c r="F27" s="3" t="s">
        <v>23</v>
      </c>
      <c r="G27" s="3" t="s">
        <v>388</v>
      </c>
      <c r="H27" s="3" t="s">
        <v>25</v>
      </c>
      <c r="I27" s="3" t="s">
        <v>413</v>
      </c>
      <c r="J27" s="3" t="s">
        <v>414</v>
      </c>
      <c r="K27" s="3" t="s">
        <v>390</v>
      </c>
      <c r="L27" s="3" t="s">
        <v>63</v>
      </c>
      <c r="M27" s="8">
        <v>1</v>
      </c>
      <c r="N27" s="9">
        <v>3.72</v>
      </c>
      <c r="O27" s="8">
        <v>188.54</v>
      </c>
    </row>
    <row r="28" spans="1:15" x14ac:dyDescent="0.25">
      <c r="A28" s="10" t="s">
        <v>1</v>
      </c>
      <c r="B28" s="10" t="s">
        <v>415</v>
      </c>
      <c r="C28" s="10" t="s">
        <v>1</v>
      </c>
      <c r="D28" s="10" t="s">
        <v>1</v>
      </c>
      <c r="E28" s="10" t="s">
        <v>1</v>
      </c>
      <c r="F28" s="10" t="s">
        <v>1</v>
      </c>
      <c r="G28" s="10" t="s">
        <v>1</v>
      </c>
      <c r="H28" s="10" t="s">
        <v>1</v>
      </c>
      <c r="I28" s="10" t="s">
        <v>1</v>
      </c>
      <c r="J28" s="10" t="s">
        <v>1</v>
      </c>
      <c r="K28" s="10" t="s">
        <v>1</v>
      </c>
      <c r="L28" s="10" t="s">
        <v>1</v>
      </c>
      <c r="M28" s="11">
        <v>6</v>
      </c>
      <c r="N28" s="11">
        <v>19.760000000000002</v>
      </c>
      <c r="O28" s="11">
        <v>1001.49</v>
      </c>
    </row>
    <row r="29" spans="1:15" x14ac:dyDescent="0.25">
      <c r="B29" s="2" t="s">
        <v>1</v>
      </c>
    </row>
    <row r="30" spans="1:15" x14ac:dyDescent="0.25">
      <c r="B30" s="2" t="s">
        <v>416</v>
      </c>
    </row>
    <row r="31" spans="1:15" x14ac:dyDescent="0.25">
      <c r="B31" s="2" t="s">
        <v>1</v>
      </c>
    </row>
    <row r="32" spans="1:15" x14ac:dyDescent="0.25">
      <c r="A32" s="6" t="s">
        <v>4</v>
      </c>
      <c r="B32" s="6" t="s">
        <v>5</v>
      </c>
      <c r="C32" s="6" t="s">
        <v>6</v>
      </c>
      <c r="D32" s="6" t="s">
        <v>7</v>
      </c>
      <c r="E32" s="6" t="s">
        <v>8</v>
      </c>
      <c r="F32" s="6" t="s">
        <v>9</v>
      </c>
      <c r="G32" s="6" t="s">
        <v>10</v>
      </c>
      <c r="H32" s="6" t="s">
        <v>11</v>
      </c>
      <c r="I32" s="6" t="s">
        <v>12</v>
      </c>
      <c r="J32" s="6" t="s">
        <v>13</v>
      </c>
      <c r="K32" s="6" t="s">
        <v>14</v>
      </c>
      <c r="L32" s="6" t="s">
        <v>15</v>
      </c>
      <c r="M32" s="6" t="s">
        <v>16</v>
      </c>
      <c r="N32" s="6" t="s">
        <v>17</v>
      </c>
      <c r="O32" s="6" t="s">
        <v>18</v>
      </c>
    </row>
    <row r="33" spans="1:15" x14ac:dyDescent="0.25">
      <c r="A33" s="3" t="s">
        <v>386</v>
      </c>
      <c r="B33" s="3" t="s">
        <v>417</v>
      </c>
      <c r="C33" s="4">
        <v>45969</v>
      </c>
      <c r="D33" s="3" t="s">
        <v>21</v>
      </c>
      <c r="E33" s="3" t="s">
        <v>22</v>
      </c>
      <c r="F33" s="3" t="s">
        <v>23</v>
      </c>
      <c r="G33" s="3" t="s">
        <v>388</v>
      </c>
      <c r="H33" s="3" t="s">
        <v>25</v>
      </c>
      <c r="I33" s="3" t="s">
        <v>418</v>
      </c>
      <c r="J33" s="3" t="s">
        <v>419</v>
      </c>
      <c r="K33" s="3" t="s">
        <v>201</v>
      </c>
      <c r="L33" s="3" t="s">
        <v>202</v>
      </c>
      <c r="M33" s="8">
        <v>1</v>
      </c>
      <c r="N33" s="9">
        <v>2.2400000000000002</v>
      </c>
      <c r="O33" s="8">
        <v>113.53</v>
      </c>
    </row>
    <row r="34" spans="1:15" x14ac:dyDescent="0.25">
      <c r="A34" s="3" t="s">
        <v>386</v>
      </c>
      <c r="B34" s="3" t="s">
        <v>417</v>
      </c>
      <c r="C34" s="4">
        <v>45973</v>
      </c>
      <c r="D34" s="3" t="s">
        <v>21</v>
      </c>
      <c r="E34" s="3" t="s">
        <v>35</v>
      </c>
      <c r="F34" s="3" t="s">
        <v>23</v>
      </c>
      <c r="G34" s="3" t="s">
        <v>388</v>
      </c>
      <c r="H34" s="3" t="s">
        <v>25</v>
      </c>
      <c r="I34" s="3" t="s">
        <v>26</v>
      </c>
      <c r="J34" s="3" t="s">
        <v>420</v>
      </c>
      <c r="K34" s="3" t="s">
        <v>390</v>
      </c>
      <c r="L34" s="3" t="s">
        <v>63</v>
      </c>
      <c r="M34" s="8">
        <v>1</v>
      </c>
      <c r="N34" s="9">
        <v>3.8</v>
      </c>
      <c r="O34" s="8">
        <v>192.6</v>
      </c>
    </row>
    <row r="35" spans="1:15" x14ac:dyDescent="0.25">
      <c r="A35" s="3" t="s">
        <v>386</v>
      </c>
      <c r="B35" s="3" t="s">
        <v>417</v>
      </c>
      <c r="C35" s="4">
        <v>45981</v>
      </c>
      <c r="D35" s="3" t="s">
        <v>21</v>
      </c>
      <c r="E35" s="3" t="s">
        <v>30</v>
      </c>
      <c r="F35" s="3" t="s">
        <v>23</v>
      </c>
      <c r="G35" s="3" t="s">
        <v>388</v>
      </c>
      <c r="H35" s="3" t="s">
        <v>25</v>
      </c>
      <c r="I35" s="3" t="s">
        <v>421</v>
      </c>
      <c r="J35" s="3" t="s">
        <v>422</v>
      </c>
      <c r="K35" s="3" t="s">
        <v>33</v>
      </c>
      <c r="L35" s="3" t="s">
        <v>109</v>
      </c>
      <c r="M35" s="8">
        <v>1</v>
      </c>
      <c r="N35" s="9">
        <v>3.5</v>
      </c>
      <c r="O35" s="8">
        <v>177.39</v>
      </c>
    </row>
    <row r="36" spans="1:15" x14ac:dyDescent="0.25">
      <c r="A36" s="10" t="s">
        <v>1</v>
      </c>
      <c r="B36" s="10" t="s">
        <v>423</v>
      </c>
      <c r="C36" s="10" t="s">
        <v>1</v>
      </c>
      <c r="D36" s="10" t="s">
        <v>1</v>
      </c>
      <c r="E36" s="10" t="s">
        <v>1</v>
      </c>
      <c r="F36" s="10" t="s">
        <v>1</v>
      </c>
      <c r="G36" s="10" t="s">
        <v>1</v>
      </c>
      <c r="H36" s="10" t="s">
        <v>1</v>
      </c>
      <c r="I36" s="10" t="s">
        <v>1</v>
      </c>
      <c r="J36" s="10" t="s">
        <v>1</v>
      </c>
      <c r="K36" s="10" t="s">
        <v>1</v>
      </c>
      <c r="L36" s="10" t="s">
        <v>1</v>
      </c>
      <c r="M36" s="11">
        <v>3</v>
      </c>
      <c r="N36" s="11">
        <v>9.5399999999999991</v>
      </c>
      <c r="O36" s="11">
        <v>483.52</v>
      </c>
    </row>
    <row r="37" spans="1:15" x14ac:dyDescent="0.25">
      <c r="B37" s="2" t="s">
        <v>1</v>
      </c>
    </row>
    <row r="38" spans="1:15" x14ac:dyDescent="0.25">
      <c r="B38" s="2" t="s">
        <v>424</v>
      </c>
    </row>
    <row r="39" spans="1:15" x14ac:dyDescent="0.25">
      <c r="B39" s="2" t="s">
        <v>1</v>
      </c>
    </row>
    <row r="40" spans="1:15" x14ac:dyDescent="0.25">
      <c r="A40" s="6" t="s">
        <v>4</v>
      </c>
      <c r="B40" s="6" t="s">
        <v>5</v>
      </c>
      <c r="C40" s="6" t="s">
        <v>6</v>
      </c>
      <c r="D40" s="6" t="s">
        <v>7</v>
      </c>
      <c r="E40" s="6" t="s">
        <v>8</v>
      </c>
      <c r="F40" s="6" t="s">
        <v>9</v>
      </c>
      <c r="G40" s="6" t="s">
        <v>10</v>
      </c>
      <c r="H40" s="6" t="s">
        <v>11</v>
      </c>
      <c r="I40" s="6" t="s">
        <v>12</v>
      </c>
      <c r="J40" s="6" t="s">
        <v>13</v>
      </c>
      <c r="K40" s="6" t="s">
        <v>14</v>
      </c>
      <c r="L40" s="6" t="s">
        <v>15</v>
      </c>
      <c r="M40" s="6" t="s">
        <v>16</v>
      </c>
      <c r="N40" s="6" t="s">
        <v>17</v>
      </c>
      <c r="O40" s="6" t="s">
        <v>18</v>
      </c>
    </row>
    <row r="41" spans="1:15" x14ac:dyDescent="0.25">
      <c r="A41" s="3" t="s">
        <v>386</v>
      </c>
      <c r="B41" s="3" t="s">
        <v>425</v>
      </c>
      <c r="C41" s="4">
        <v>45973</v>
      </c>
      <c r="D41" s="3" t="s">
        <v>21</v>
      </c>
      <c r="E41" s="3" t="s">
        <v>35</v>
      </c>
      <c r="F41" s="3" t="s">
        <v>23</v>
      </c>
      <c r="G41" s="3" t="s">
        <v>388</v>
      </c>
      <c r="H41" s="3" t="s">
        <v>25</v>
      </c>
      <c r="I41" s="3" t="s">
        <v>426</v>
      </c>
      <c r="J41" s="3" t="s">
        <v>427</v>
      </c>
      <c r="K41" s="3" t="s">
        <v>403</v>
      </c>
      <c r="L41" s="3" t="s">
        <v>404</v>
      </c>
      <c r="M41" s="8">
        <v>1</v>
      </c>
      <c r="N41" s="9">
        <v>1.84</v>
      </c>
      <c r="O41" s="8">
        <v>93.26</v>
      </c>
    </row>
    <row r="42" spans="1:15" x14ac:dyDescent="0.25">
      <c r="A42" s="3" t="s">
        <v>386</v>
      </c>
      <c r="B42" s="3" t="s">
        <v>425</v>
      </c>
      <c r="C42" s="4">
        <v>45978</v>
      </c>
      <c r="D42" s="3" t="s">
        <v>21</v>
      </c>
      <c r="E42" s="3" t="s">
        <v>38</v>
      </c>
      <c r="F42" s="3" t="s">
        <v>23</v>
      </c>
      <c r="G42" s="3" t="s">
        <v>388</v>
      </c>
      <c r="H42" s="3" t="s">
        <v>25</v>
      </c>
      <c r="I42" s="3" t="s">
        <v>428</v>
      </c>
      <c r="J42" s="3" t="s">
        <v>429</v>
      </c>
      <c r="K42" s="3" t="s">
        <v>403</v>
      </c>
      <c r="L42" s="3" t="s">
        <v>404</v>
      </c>
      <c r="M42" s="8">
        <v>1</v>
      </c>
      <c r="N42" s="9">
        <v>3.88</v>
      </c>
      <c r="O42" s="8">
        <v>196.65</v>
      </c>
    </row>
    <row r="43" spans="1:15" x14ac:dyDescent="0.25">
      <c r="A43" s="3" t="s">
        <v>386</v>
      </c>
      <c r="B43" s="3" t="s">
        <v>425</v>
      </c>
      <c r="C43" s="4">
        <v>45985</v>
      </c>
      <c r="D43" s="3" t="s">
        <v>21</v>
      </c>
      <c r="E43" s="3" t="s">
        <v>38</v>
      </c>
      <c r="F43" s="3" t="s">
        <v>23</v>
      </c>
      <c r="G43" s="3" t="s">
        <v>388</v>
      </c>
      <c r="H43" s="3" t="s">
        <v>25</v>
      </c>
      <c r="I43" s="3" t="s">
        <v>430</v>
      </c>
      <c r="J43" s="3" t="s">
        <v>431</v>
      </c>
      <c r="K43" s="3" t="s">
        <v>403</v>
      </c>
      <c r="L43" s="3" t="s">
        <v>404</v>
      </c>
      <c r="M43" s="8">
        <v>1</v>
      </c>
      <c r="N43" s="9">
        <v>3.1</v>
      </c>
      <c r="O43" s="8">
        <v>157.12</v>
      </c>
    </row>
    <row r="44" spans="1:15" x14ac:dyDescent="0.25">
      <c r="A44" s="10" t="s">
        <v>1</v>
      </c>
      <c r="B44" s="10" t="s">
        <v>432</v>
      </c>
      <c r="C44" s="10" t="s">
        <v>1</v>
      </c>
      <c r="D44" s="10" t="s">
        <v>1</v>
      </c>
      <c r="E44" s="10" t="s">
        <v>1</v>
      </c>
      <c r="F44" s="10" t="s">
        <v>1</v>
      </c>
      <c r="G44" s="10" t="s">
        <v>1</v>
      </c>
      <c r="H44" s="10" t="s">
        <v>1</v>
      </c>
      <c r="I44" s="10" t="s">
        <v>1</v>
      </c>
      <c r="J44" s="10" t="s">
        <v>1</v>
      </c>
      <c r="K44" s="10" t="s">
        <v>1</v>
      </c>
      <c r="L44" s="10" t="s">
        <v>1</v>
      </c>
      <c r="M44" s="11">
        <v>3</v>
      </c>
      <c r="N44" s="11">
        <v>8.82</v>
      </c>
      <c r="O44" s="11">
        <v>447.02</v>
      </c>
    </row>
    <row r="45" spans="1:15" x14ac:dyDescent="0.25">
      <c r="B45" s="2" t="s">
        <v>1</v>
      </c>
    </row>
    <row r="46" spans="1:15" x14ac:dyDescent="0.25">
      <c r="B46" s="2" t="s">
        <v>433</v>
      </c>
    </row>
    <row r="47" spans="1:15" x14ac:dyDescent="0.25">
      <c r="B47" s="2" t="s">
        <v>1</v>
      </c>
    </row>
    <row r="48" spans="1:15" x14ac:dyDescent="0.25">
      <c r="A48" s="6" t="s">
        <v>4</v>
      </c>
      <c r="B48" s="6" t="s">
        <v>5</v>
      </c>
      <c r="C48" s="6" t="s">
        <v>6</v>
      </c>
      <c r="D48" s="6" t="s">
        <v>7</v>
      </c>
      <c r="E48" s="6" t="s">
        <v>8</v>
      </c>
      <c r="F48" s="6" t="s">
        <v>9</v>
      </c>
      <c r="G48" s="6" t="s">
        <v>10</v>
      </c>
      <c r="H48" s="6" t="s">
        <v>11</v>
      </c>
      <c r="I48" s="6" t="s">
        <v>12</v>
      </c>
      <c r="J48" s="6" t="s">
        <v>13</v>
      </c>
      <c r="K48" s="6" t="s">
        <v>14</v>
      </c>
      <c r="L48" s="6" t="s">
        <v>15</v>
      </c>
      <c r="M48" s="6" t="s">
        <v>16</v>
      </c>
      <c r="N48" s="6" t="s">
        <v>17</v>
      </c>
      <c r="O48" s="6" t="s">
        <v>18</v>
      </c>
    </row>
    <row r="49" spans="1:15" x14ac:dyDescent="0.25">
      <c r="A49" s="3" t="s">
        <v>386</v>
      </c>
      <c r="B49" s="3" t="s">
        <v>434</v>
      </c>
      <c r="C49" s="4">
        <v>45964</v>
      </c>
      <c r="D49" s="3" t="s">
        <v>21</v>
      </c>
      <c r="E49" s="3" t="s">
        <v>38</v>
      </c>
      <c r="F49" s="3" t="s">
        <v>23</v>
      </c>
      <c r="G49" s="3" t="s">
        <v>388</v>
      </c>
      <c r="H49" s="3" t="s">
        <v>25</v>
      </c>
      <c r="I49" s="3" t="s">
        <v>435</v>
      </c>
      <c r="J49" s="3" t="s">
        <v>436</v>
      </c>
      <c r="K49" s="3" t="s">
        <v>393</v>
      </c>
      <c r="L49" s="3" t="s">
        <v>68</v>
      </c>
      <c r="M49" s="8">
        <v>1</v>
      </c>
      <c r="N49" s="9">
        <v>3.86</v>
      </c>
      <c r="O49" s="8">
        <v>195.64</v>
      </c>
    </row>
    <row r="50" spans="1:15" x14ac:dyDescent="0.25">
      <c r="A50" s="3" t="s">
        <v>386</v>
      </c>
      <c r="B50" s="3" t="s">
        <v>434</v>
      </c>
      <c r="C50" s="4">
        <v>45968</v>
      </c>
      <c r="D50" s="3" t="s">
        <v>21</v>
      </c>
      <c r="E50" s="3" t="s">
        <v>44</v>
      </c>
      <c r="F50" s="3" t="s">
        <v>23</v>
      </c>
      <c r="G50" s="3" t="s">
        <v>388</v>
      </c>
      <c r="H50" s="3" t="s">
        <v>25</v>
      </c>
      <c r="I50" s="3" t="s">
        <v>26</v>
      </c>
      <c r="J50" s="3" t="s">
        <v>437</v>
      </c>
      <c r="K50" s="3" t="s">
        <v>390</v>
      </c>
      <c r="L50" s="3" t="s">
        <v>34</v>
      </c>
      <c r="M50" s="8">
        <v>1</v>
      </c>
      <c r="N50" s="9">
        <v>3.4</v>
      </c>
      <c r="O50" s="8">
        <v>172.32</v>
      </c>
    </row>
    <row r="51" spans="1:15" x14ac:dyDescent="0.25">
      <c r="A51" s="3" t="s">
        <v>386</v>
      </c>
      <c r="B51" s="3" t="s">
        <v>434</v>
      </c>
      <c r="C51" s="4">
        <v>45976</v>
      </c>
      <c r="D51" s="3" t="s">
        <v>21</v>
      </c>
      <c r="E51" s="3" t="s">
        <v>22</v>
      </c>
      <c r="F51" s="3" t="s">
        <v>23</v>
      </c>
      <c r="G51" s="3" t="s">
        <v>388</v>
      </c>
      <c r="H51" s="3" t="s">
        <v>25</v>
      </c>
      <c r="I51" s="3" t="s">
        <v>438</v>
      </c>
      <c r="J51" s="3" t="s">
        <v>439</v>
      </c>
      <c r="K51" s="3" t="s">
        <v>62</v>
      </c>
      <c r="L51" s="3" t="s">
        <v>63</v>
      </c>
      <c r="M51" s="8">
        <v>1</v>
      </c>
      <c r="N51" s="9">
        <v>2.46</v>
      </c>
      <c r="O51" s="8">
        <v>124.68</v>
      </c>
    </row>
    <row r="52" spans="1:15" x14ac:dyDescent="0.25">
      <c r="A52" s="3" t="s">
        <v>386</v>
      </c>
      <c r="B52" s="3" t="s">
        <v>434</v>
      </c>
      <c r="C52" s="4">
        <v>45988</v>
      </c>
      <c r="D52" s="3" t="s">
        <v>21</v>
      </c>
      <c r="E52" s="3" t="s">
        <v>30</v>
      </c>
      <c r="F52" s="3" t="s">
        <v>23</v>
      </c>
      <c r="G52" s="3" t="s">
        <v>388</v>
      </c>
      <c r="H52" s="3" t="s">
        <v>25</v>
      </c>
      <c r="I52" s="3" t="s">
        <v>440</v>
      </c>
      <c r="J52" s="3" t="s">
        <v>441</v>
      </c>
      <c r="K52" s="3" t="s">
        <v>403</v>
      </c>
      <c r="L52" s="3" t="s">
        <v>404</v>
      </c>
      <c r="M52" s="8">
        <v>1</v>
      </c>
      <c r="N52" s="9">
        <v>3.04</v>
      </c>
      <c r="O52" s="8">
        <v>154.08000000000001</v>
      </c>
    </row>
    <row r="53" spans="1:15" x14ac:dyDescent="0.25">
      <c r="A53" s="10" t="s">
        <v>1</v>
      </c>
      <c r="B53" s="10" t="s">
        <v>442</v>
      </c>
      <c r="C53" s="10" t="s">
        <v>1</v>
      </c>
      <c r="D53" s="10" t="s">
        <v>1</v>
      </c>
      <c r="E53" s="10" t="s">
        <v>1</v>
      </c>
      <c r="F53" s="10" t="s">
        <v>1</v>
      </c>
      <c r="G53" s="10" t="s">
        <v>1</v>
      </c>
      <c r="H53" s="10" t="s">
        <v>1</v>
      </c>
      <c r="I53" s="10" t="s">
        <v>1</v>
      </c>
      <c r="J53" s="10" t="s">
        <v>1</v>
      </c>
      <c r="K53" s="10" t="s">
        <v>1</v>
      </c>
      <c r="L53" s="10" t="s">
        <v>1</v>
      </c>
      <c r="M53" s="11">
        <v>4</v>
      </c>
      <c r="N53" s="11">
        <v>12.76</v>
      </c>
      <c r="O53" s="11">
        <v>646.71</v>
      </c>
    </row>
    <row r="54" spans="1:15" x14ac:dyDescent="0.25">
      <c r="A54" s="5" t="s">
        <v>1</v>
      </c>
      <c r="B54" s="5" t="s">
        <v>79</v>
      </c>
      <c r="C54" s="5" t="s">
        <v>1</v>
      </c>
      <c r="D54" s="5" t="s">
        <v>1</v>
      </c>
      <c r="E54" s="5" t="s">
        <v>1</v>
      </c>
      <c r="F54" s="5" t="s">
        <v>1</v>
      </c>
      <c r="G54" s="5" t="s">
        <v>1</v>
      </c>
      <c r="H54" s="5" t="s">
        <v>1</v>
      </c>
      <c r="I54" s="5" t="s">
        <v>1</v>
      </c>
      <c r="J54" s="5" t="s">
        <v>1</v>
      </c>
      <c r="K54" s="5" t="s">
        <v>1</v>
      </c>
      <c r="L54" s="5" t="s">
        <v>1</v>
      </c>
      <c r="M54" s="8">
        <v>20</v>
      </c>
      <c r="N54" s="9">
        <v>65.36</v>
      </c>
      <c r="O54" s="8">
        <v>3312.64</v>
      </c>
    </row>
    <row r="55" spans="1:15" x14ac:dyDescent="0.25">
      <c r="B55" s="2" t="s">
        <v>1</v>
      </c>
    </row>
    <row r="56" spans="1:15" x14ac:dyDescent="0.25">
      <c r="B56" s="2" t="s">
        <v>443</v>
      </c>
    </row>
    <row r="57" spans="1:15" x14ac:dyDescent="0.25">
      <c r="B57" s="2" t="s">
        <v>1</v>
      </c>
    </row>
    <row r="58" spans="1:15" x14ac:dyDescent="0.25">
      <c r="A58" s="6" t="s">
        <v>4</v>
      </c>
      <c r="B58" s="6" t="s">
        <v>5</v>
      </c>
      <c r="C58" s="6" t="s">
        <v>6</v>
      </c>
      <c r="D58" s="6" t="s">
        <v>7</v>
      </c>
      <c r="E58" s="6" t="s">
        <v>8</v>
      </c>
      <c r="F58" s="6" t="s">
        <v>9</v>
      </c>
      <c r="G58" s="6" t="s">
        <v>10</v>
      </c>
      <c r="H58" s="6" t="s">
        <v>11</v>
      </c>
      <c r="I58" s="6" t="s">
        <v>12</v>
      </c>
      <c r="J58" s="6" t="s">
        <v>13</v>
      </c>
      <c r="K58" s="6" t="s">
        <v>14</v>
      </c>
      <c r="L58" s="6" t="s">
        <v>15</v>
      </c>
      <c r="M58" s="6" t="s">
        <v>16</v>
      </c>
      <c r="N58" s="6" t="s">
        <v>17</v>
      </c>
      <c r="O58" s="6" t="s">
        <v>18</v>
      </c>
    </row>
    <row r="59" spans="1:15" x14ac:dyDescent="0.25">
      <c r="A59" s="3" t="s">
        <v>386</v>
      </c>
      <c r="B59" s="3" t="s">
        <v>444</v>
      </c>
      <c r="C59" s="4">
        <v>45982</v>
      </c>
      <c r="D59" s="3" t="s">
        <v>21</v>
      </c>
      <c r="E59" s="3" t="s">
        <v>44</v>
      </c>
      <c r="F59" s="3" t="s">
        <v>23</v>
      </c>
      <c r="G59" s="3" t="s">
        <v>388</v>
      </c>
      <c r="H59" s="3" t="s">
        <v>123</v>
      </c>
      <c r="I59" s="3" t="s">
        <v>445</v>
      </c>
      <c r="J59" s="3" t="s">
        <v>446</v>
      </c>
      <c r="K59" s="3" t="s">
        <v>403</v>
      </c>
      <c r="L59" s="3" t="s">
        <v>404</v>
      </c>
      <c r="M59" s="8">
        <v>1</v>
      </c>
      <c r="N59" s="9">
        <v>3.42</v>
      </c>
      <c r="O59" s="8">
        <v>166.54</v>
      </c>
    </row>
    <row r="60" spans="1:15" x14ac:dyDescent="0.25">
      <c r="A60" s="10" t="s">
        <v>1</v>
      </c>
      <c r="B60" s="10" t="s">
        <v>447</v>
      </c>
      <c r="C60" s="10" t="s">
        <v>1</v>
      </c>
      <c r="D60" s="10" t="s">
        <v>1</v>
      </c>
      <c r="E60" s="10" t="s">
        <v>1</v>
      </c>
      <c r="F60" s="10" t="s">
        <v>1</v>
      </c>
      <c r="G60" s="10" t="s">
        <v>1</v>
      </c>
      <c r="H60" s="10" t="s">
        <v>1</v>
      </c>
      <c r="I60" s="10" t="s">
        <v>1</v>
      </c>
      <c r="J60" s="10" t="s">
        <v>1</v>
      </c>
      <c r="K60" s="10" t="s">
        <v>1</v>
      </c>
      <c r="L60" s="10" t="s">
        <v>1</v>
      </c>
      <c r="M60" s="11">
        <v>1</v>
      </c>
      <c r="N60" s="11">
        <v>3.42</v>
      </c>
      <c r="O60" s="11">
        <v>166.54</v>
      </c>
    </row>
    <row r="61" spans="1:15" x14ac:dyDescent="0.25">
      <c r="A61" s="5" t="s">
        <v>1</v>
      </c>
      <c r="B61" s="5" t="s">
        <v>79</v>
      </c>
      <c r="C61" s="5" t="s">
        <v>1</v>
      </c>
      <c r="D61" s="5" t="s">
        <v>1</v>
      </c>
      <c r="E61" s="5" t="s">
        <v>1</v>
      </c>
      <c r="F61" s="5" t="s">
        <v>1</v>
      </c>
      <c r="G61" s="5" t="s">
        <v>1</v>
      </c>
      <c r="H61" s="5" t="s">
        <v>1</v>
      </c>
      <c r="I61" s="5" t="s">
        <v>1</v>
      </c>
      <c r="J61" s="5" t="s">
        <v>1</v>
      </c>
      <c r="K61" s="5" t="s">
        <v>1</v>
      </c>
      <c r="L61" s="5" t="s">
        <v>1</v>
      </c>
      <c r="M61" s="8">
        <v>1</v>
      </c>
      <c r="N61" s="9">
        <v>3.42</v>
      </c>
      <c r="O61" s="8">
        <v>166.54</v>
      </c>
    </row>
    <row r="62" spans="1:15" x14ac:dyDescent="0.25">
      <c r="A62" s="10" t="s">
        <v>1</v>
      </c>
      <c r="B62" s="10" t="s">
        <v>448</v>
      </c>
      <c r="C62" s="10" t="s">
        <v>1</v>
      </c>
      <c r="D62" s="10" t="s">
        <v>1</v>
      </c>
      <c r="E62" s="10" t="s">
        <v>1</v>
      </c>
      <c r="F62" s="10" t="s">
        <v>1</v>
      </c>
      <c r="G62" s="10" t="s">
        <v>1</v>
      </c>
      <c r="H62" s="10" t="s">
        <v>1</v>
      </c>
      <c r="I62" s="10" t="s">
        <v>1</v>
      </c>
      <c r="J62" s="10" t="s">
        <v>1</v>
      </c>
      <c r="K62" s="10" t="s">
        <v>1</v>
      </c>
      <c r="L62" s="10" t="s">
        <v>1</v>
      </c>
      <c r="M62" s="11">
        <v>21</v>
      </c>
      <c r="N62" s="11">
        <v>68.78</v>
      </c>
      <c r="O62" s="11">
        <v>3479.17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38"/>
  <sheetViews>
    <sheetView topLeftCell="A10" workbookViewId="0"/>
  </sheetViews>
  <sheetFormatPr baseColWidth="10" defaultColWidth="9.140625" defaultRowHeight="15" x14ac:dyDescent="0.25"/>
  <cols>
    <col min="1" max="1" width="25.7109375" bestFit="1" customWidth="1"/>
    <col min="2" max="2" width="71.28515625" bestFit="1" customWidth="1"/>
    <col min="3" max="3" width="9.28515625" bestFit="1" customWidth="1"/>
    <col min="4" max="4" width="6" bestFit="1" customWidth="1"/>
    <col min="5" max="5" width="8.140625" bestFit="1" customWidth="1"/>
    <col min="6" max="6" width="30.85546875" bestFit="1" customWidth="1"/>
    <col min="7" max="7" width="19.8554687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8.71093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449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416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386</v>
      </c>
      <c r="B13" s="12" t="s">
        <v>417</v>
      </c>
      <c r="C13" s="7">
        <v>45962</v>
      </c>
      <c r="D13" s="12" t="s">
        <v>82</v>
      </c>
      <c r="E13" s="12" t="s">
        <v>22</v>
      </c>
      <c r="F13" s="12" t="s">
        <v>83</v>
      </c>
      <c r="G13" s="12" t="s">
        <v>388</v>
      </c>
      <c r="H13" s="12" t="s">
        <v>25</v>
      </c>
      <c r="I13" s="12" t="s">
        <v>26</v>
      </c>
      <c r="J13" s="12" t="s">
        <v>450</v>
      </c>
      <c r="K13" s="12" t="s">
        <v>390</v>
      </c>
      <c r="L13" s="12" t="s">
        <v>63</v>
      </c>
      <c r="M13" s="13">
        <v>1</v>
      </c>
      <c r="N13" s="13">
        <v>2.36</v>
      </c>
      <c r="O13" s="13">
        <v>145.4</v>
      </c>
    </row>
    <row r="14" spans="1:15" x14ac:dyDescent="0.25">
      <c r="A14" s="10" t="s">
        <v>1</v>
      </c>
      <c r="B14" s="10" t="s">
        <v>423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2.36</v>
      </c>
      <c r="O14" s="11">
        <v>145.4</v>
      </c>
    </row>
    <row r="15" spans="1:15" x14ac:dyDescent="0.25">
      <c r="B15" s="2" t="s">
        <v>1</v>
      </c>
    </row>
    <row r="16" spans="1:15" x14ac:dyDescent="0.25">
      <c r="B16" s="2" t="s">
        <v>424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2" t="s">
        <v>386</v>
      </c>
      <c r="B19" s="12" t="s">
        <v>425</v>
      </c>
      <c r="C19" s="7">
        <v>45962</v>
      </c>
      <c r="D19" s="12" t="s">
        <v>82</v>
      </c>
      <c r="E19" s="12" t="s">
        <v>22</v>
      </c>
      <c r="F19" s="12" t="s">
        <v>83</v>
      </c>
      <c r="G19" s="12" t="s">
        <v>388</v>
      </c>
      <c r="H19" s="12" t="s">
        <v>25</v>
      </c>
      <c r="I19" s="12" t="s">
        <v>26</v>
      </c>
      <c r="J19" s="12" t="s">
        <v>451</v>
      </c>
      <c r="K19" s="12" t="s">
        <v>452</v>
      </c>
      <c r="L19" s="12" t="s">
        <v>47</v>
      </c>
      <c r="M19" s="13">
        <v>1</v>
      </c>
      <c r="N19" s="13">
        <v>3.3</v>
      </c>
      <c r="O19" s="13">
        <v>203.31</v>
      </c>
    </row>
    <row r="20" spans="1:15" x14ac:dyDescent="0.25">
      <c r="A20" s="14" t="s">
        <v>386</v>
      </c>
      <c r="B20" s="14" t="s">
        <v>425</v>
      </c>
      <c r="C20" s="7">
        <v>45963</v>
      </c>
      <c r="D20" s="14" t="s">
        <v>21</v>
      </c>
      <c r="E20" s="14" t="s">
        <v>85</v>
      </c>
      <c r="F20" s="14" t="s">
        <v>83</v>
      </c>
      <c r="G20" s="14" t="s">
        <v>388</v>
      </c>
      <c r="H20" s="14" t="s">
        <v>25</v>
      </c>
      <c r="I20" s="14" t="s">
        <v>26</v>
      </c>
      <c r="J20" s="14" t="s">
        <v>453</v>
      </c>
      <c r="K20" s="14" t="s">
        <v>393</v>
      </c>
      <c r="L20" s="14" t="s">
        <v>68</v>
      </c>
      <c r="M20" s="15">
        <v>1</v>
      </c>
      <c r="N20" s="15">
        <v>2.92</v>
      </c>
      <c r="O20" s="15">
        <v>179.9</v>
      </c>
    </row>
    <row r="21" spans="1:15" x14ac:dyDescent="0.25">
      <c r="A21" s="12" t="s">
        <v>386</v>
      </c>
      <c r="B21" s="12" t="s">
        <v>425</v>
      </c>
      <c r="C21" s="7">
        <v>45972</v>
      </c>
      <c r="D21" s="12" t="s">
        <v>82</v>
      </c>
      <c r="E21" s="12" t="s">
        <v>58</v>
      </c>
      <c r="F21" s="12" t="s">
        <v>83</v>
      </c>
      <c r="G21" s="12" t="s">
        <v>388</v>
      </c>
      <c r="H21" s="12" t="s">
        <v>25</v>
      </c>
      <c r="I21" s="12" t="s">
        <v>454</v>
      </c>
      <c r="J21" s="12" t="s">
        <v>455</v>
      </c>
      <c r="K21" s="12" t="s">
        <v>403</v>
      </c>
      <c r="L21" s="12" t="s">
        <v>404</v>
      </c>
      <c r="M21" s="13">
        <v>1</v>
      </c>
      <c r="N21" s="13">
        <v>2.8</v>
      </c>
      <c r="O21" s="13">
        <v>172.5</v>
      </c>
    </row>
    <row r="22" spans="1:15" x14ac:dyDescent="0.25">
      <c r="A22" s="10" t="s">
        <v>1</v>
      </c>
      <c r="B22" s="10" t="s">
        <v>432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1">
        <v>3</v>
      </c>
      <c r="N22" s="11">
        <v>9.02</v>
      </c>
      <c r="O22" s="11">
        <v>555.71</v>
      </c>
    </row>
    <row r="23" spans="1:15" x14ac:dyDescent="0.25">
      <c r="B23" s="2" t="s">
        <v>1</v>
      </c>
    </row>
    <row r="24" spans="1:15" x14ac:dyDescent="0.25">
      <c r="B24" s="2" t="s">
        <v>433</v>
      </c>
    </row>
    <row r="25" spans="1:15" x14ac:dyDescent="0.25">
      <c r="B25" s="2" t="s">
        <v>1</v>
      </c>
    </row>
    <row r="26" spans="1:15" x14ac:dyDescent="0.25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  <c r="M26" s="6" t="s">
        <v>16</v>
      </c>
      <c r="N26" s="6" t="s">
        <v>17</v>
      </c>
      <c r="O26" s="6" t="s">
        <v>18</v>
      </c>
    </row>
    <row r="27" spans="1:15" x14ac:dyDescent="0.25">
      <c r="A27" s="12" t="s">
        <v>386</v>
      </c>
      <c r="B27" s="12" t="s">
        <v>434</v>
      </c>
      <c r="C27" s="7">
        <v>45962</v>
      </c>
      <c r="D27" s="12" t="s">
        <v>82</v>
      </c>
      <c r="E27" s="12" t="s">
        <v>22</v>
      </c>
      <c r="F27" s="12" t="s">
        <v>83</v>
      </c>
      <c r="G27" s="12" t="s">
        <v>388</v>
      </c>
      <c r="H27" s="12" t="s">
        <v>25</v>
      </c>
      <c r="I27" s="12" t="s">
        <v>26</v>
      </c>
      <c r="J27" s="12" t="s">
        <v>456</v>
      </c>
      <c r="K27" s="12" t="s">
        <v>452</v>
      </c>
      <c r="L27" s="12" t="s">
        <v>47</v>
      </c>
      <c r="M27" s="13">
        <v>1</v>
      </c>
      <c r="N27" s="13">
        <v>2.74</v>
      </c>
      <c r="O27" s="13">
        <v>168.81</v>
      </c>
    </row>
    <row r="28" spans="1:15" x14ac:dyDescent="0.25">
      <c r="A28" s="12" t="s">
        <v>386</v>
      </c>
      <c r="B28" s="12" t="s">
        <v>434</v>
      </c>
      <c r="C28" s="7">
        <v>45972</v>
      </c>
      <c r="D28" s="12" t="s">
        <v>82</v>
      </c>
      <c r="E28" s="12" t="s">
        <v>58</v>
      </c>
      <c r="F28" s="12" t="s">
        <v>83</v>
      </c>
      <c r="G28" s="12" t="s">
        <v>388</v>
      </c>
      <c r="H28" s="12" t="s">
        <v>25</v>
      </c>
      <c r="I28" s="12" t="s">
        <v>457</v>
      </c>
      <c r="J28" s="12" t="s">
        <v>458</v>
      </c>
      <c r="K28" s="12" t="s">
        <v>403</v>
      </c>
      <c r="L28" s="12" t="s">
        <v>404</v>
      </c>
      <c r="M28" s="13">
        <v>1</v>
      </c>
      <c r="N28" s="13">
        <v>4.84</v>
      </c>
      <c r="O28" s="13">
        <v>298.19</v>
      </c>
    </row>
    <row r="29" spans="1:15" x14ac:dyDescent="0.25">
      <c r="A29" s="10" t="s">
        <v>1</v>
      </c>
      <c r="B29" s="10" t="s">
        <v>442</v>
      </c>
      <c r="C29" s="10" t="s">
        <v>1</v>
      </c>
      <c r="D29" s="10" t="s">
        <v>1</v>
      </c>
      <c r="E29" s="10" t="s">
        <v>1</v>
      </c>
      <c r="F29" s="10" t="s">
        <v>1</v>
      </c>
      <c r="G29" s="10" t="s">
        <v>1</v>
      </c>
      <c r="H29" s="10" t="s">
        <v>1</v>
      </c>
      <c r="I29" s="10" t="s">
        <v>1</v>
      </c>
      <c r="J29" s="10" t="s">
        <v>1</v>
      </c>
      <c r="K29" s="10" t="s">
        <v>1</v>
      </c>
      <c r="L29" s="10" t="s">
        <v>1</v>
      </c>
      <c r="M29" s="11">
        <v>2</v>
      </c>
      <c r="N29" s="11">
        <v>7.58</v>
      </c>
      <c r="O29" s="11">
        <v>467</v>
      </c>
    </row>
    <row r="30" spans="1:15" x14ac:dyDescent="0.25">
      <c r="A30" s="5" t="s">
        <v>1</v>
      </c>
      <c r="B30" s="5" t="s">
        <v>94</v>
      </c>
      <c r="C30" s="5" t="s">
        <v>1</v>
      </c>
      <c r="D30" s="5" t="s">
        <v>1</v>
      </c>
      <c r="E30" s="5" t="s">
        <v>1</v>
      </c>
      <c r="F30" s="5" t="s">
        <v>1</v>
      </c>
      <c r="G30" s="5" t="s">
        <v>1</v>
      </c>
      <c r="H30" s="5" t="s">
        <v>1</v>
      </c>
      <c r="I30" s="5" t="s">
        <v>1</v>
      </c>
      <c r="J30" s="5" t="s">
        <v>1</v>
      </c>
      <c r="K30" s="5" t="s">
        <v>1</v>
      </c>
      <c r="L30" s="5" t="s">
        <v>1</v>
      </c>
      <c r="M30" s="8">
        <v>6</v>
      </c>
      <c r="N30" s="9">
        <v>18.96</v>
      </c>
      <c r="O30" s="8">
        <v>1168.1099999999999</v>
      </c>
    </row>
    <row r="31" spans="1:15" x14ac:dyDescent="0.25">
      <c r="B31" s="2" t="s">
        <v>1</v>
      </c>
    </row>
    <row r="32" spans="1:15" x14ac:dyDescent="0.25">
      <c r="B32" s="2" t="s">
        <v>443</v>
      </c>
    </row>
    <row r="33" spans="1:15" x14ac:dyDescent="0.25">
      <c r="B33" s="2" t="s">
        <v>1</v>
      </c>
    </row>
    <row r="34" spans="1:15" x14ac:dyDescent="0.25">
      <c r="A34" s="6" t="s">
        <v>4</v>
      </c>
      <c r="B34" s="6" t="s">
        <v>5</v>
      </c>
      <c r="C34" s="6" t="s">
        <v>6</v>
      </c>
      <c r="D34" s="6" t="s">
        <v>7</v>
      </c>
      <c r="E34" s="6" t="s">
        <v>8</v>
      </c>
      <c r="F34" s="6" t="s">
        <v>9</v>
      </c>
      <c r="G34" s="6" t="s">
        <v>10</v>
      </c>
      <c r="H34" s="6" t="s">
        <v>11</v>
      </c>
      <c r="I34" s="6" t="s">
        <v>12</v>
      </c>
      <c r="J34" s="6" t="s">
        <v>13</v>
      </c>
      <c r="K34" s="6" t="s">
        <v>14</v>
      </c>
      <c r="L34" s="6" t="s">
        <v>15</v>
      </c>
      <c r="M34" s="6" t="s">
        <v>16</v>
      </c>
      <c r="N34" s="6" t="s">
        <v>17</v>
      </c>
      <c r="O34" s="6" t="s">
        <v>18</v>
      </c>
    </row>
    <row r="35" spans="1:15" x14ac:dyDescent="0.25">
      <c r="A35" s="12" t="s">
        <v>386</v>
      </c>
      <c r="B35" s="12" t="s">
        <v>444</v>
      </c>
      <c r="C35" s="7">
        <v>45972</v>
      </c>
      <c r="D35" s="12" t="s">
        <v>82</v>
      </c>
      <c r="E35" s="12" t="s">
        <v>58</v>
      </c>
      <c r="F35" s="12" t="s">
        <v>83</v>
      </c>
      <c r="G35" s="12" t="s">
        <v>388</v>
      </c>
      <c r="H35" s="12" t="s">
        <v>123</v>
      </c>
      <c r="I35" s="12" t="s">
        <v>459</v>
      </c>
      <c r="J35" s="12" t="s">
        <v>460</v>
      </c>
      <c r="K35" s="12" t="s">
        <v>201</v>
      </c>
      <c r="L35" s="12" t="s">
        <v>202</v>
      </c>
      <c r="M35" s="13">
        <v>1</v>
      </c>
      <c r="N35" s="13">
        <v>4.1399999999999997</v>
      </c>
      <c r="O35" s="13">
        <v>246.83</v>
      </c>
    </row>
    <row r="36" spans="1:15" x14ac:dyDescent="0.25">
      <c r="A36" s="10" t="s">
        <v>1</v>
      </c>
      <c r="B36" s="10" t="s">
        <v>447</v>
      </c>
      <c r="C36" s="10" t="s">
        <v>1</v>
      </c>
      <c r="D36" s="10" t="s">
        <v>1</v>
      </c>
      <c r="E36" s="10" t="s">
        <v>1</v>
      </c>
      <c r="F36" s="10" t="s">
        <v>1</v>
      </c>
      <c r="G36" s="10" t="s">
        <v>1</v>
      </c>
      <c r="H36" s="10" t="s">
        <v>1</v>
      </c>
      <c r="I36" s="10" t="s">
        <v>1</v>
      </c>
      <c r="J36" s="10" t="s">
        <v>1</v>
      </c>
      <c r="K36" s="10" t="s">
        <v>1</v>
      </c>
      <c r="L36" s="10" t="s">
        <v>1</v>
      </c>
      <c r="M36" s="11">
        <v>1</v>
      </c>
      <c r="N36" s="11">
        <v>4.1399999999999997</v>
      </c>
      <c r="O36" s="11">
        <v>246.83</v>
      </c>
    </row>
    <row r="37" spans="1:15" x14ac:dyDescent="0.25">
      <c r="A37" s="5" t="s">
        <v>1</v>
      </c>
      <c r="B37" s="5" t="s">
        <v>94</v>
      </c>
      <c r="C37" s="5" t="s">
        <v>1</v>
      </c>
      <c r="D37" s="5" t="s">
        <v>1</v>
      </c>
      <c r="E37" s="5" t="s">
        <v>1</v>
      </c>
      <c r="F37" s="5" t="s">
        <v>1</v>
      </c>
      <c r="G37" s="5" t="s">
        <v>1</v>
      </c>
      <c r="H37" s="5" t="s">
        <v>1</v>
      </c>
      <c r="I37" s="5" t="s">
        <v>1</v>
      </c>
      <c r="J37" s="5" t="s">
        <v>1</v>
      </c>
      <c r="K37" s="5" t="s">
        <v>1</v>
      </c>
      <c r="L37" s="5" t="s">
        <v>1</v>
      </c>
      <c r="M37" s="8">
        <v>1</v>
      </c>
      <c r="N37" s="9">
        <v>4.1399999999999997</v>
      </c>
      <c r="O37" s="8">
        <v>246.83</v>
      </c>
    </row>
    <row r="38" spans="1:15" x14ac:dyDescent="0.25">
      <c r="A38" s="10" t="s">
        <v>1</v>
      </c>
      <c r="B38" s="10" t="s">
        <v>461</v>
      </c>
      <c r="C38" s="10" t="s">
        <v>1</v>
      </c>
      <c r="D38" s="10" t="s">
        <v>1</v>
      </c>
      <c r="E38" s="10" t="s">
        <v>1</v>
      </c>
      <c r="F38" s="10" t="s">
        <v>1</v>
      </c>
      <c r="G38" s="10" t="s">
        <v>1</v>
      </c>
      <c r="H38" s="10" t="s">
        <v>1</v>
      </c>
      <c r="I38" s="10" t="s">
        <v>1</v>
      </c>
      <c r="J38" s="10" t="s">
        <v>1</v>
      </c>
      <c r="K38" s="10" t="s">
        <v>1</v>
      </c>
      <c r="L38" s="10" t="s">
        <v>1</v>
      </c>
      <c r="M38" s="11">
        <v>7</v>
      </c>
      <c r="N38" s="11">
        <v>23.1</v>
      </c>
      <c r="O38" s="11">
        <v>1414.94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57"/>
  <sheetViews>
    <sheetView topLeftCell="A28" workbookViewId="0"/>
  </sheetViews>
  <sheetFormatPr baseColWidth="10" defaultColWidth="9.140625" defaultRowHeight="15" x14ac:dyDescent="0.25"/>
  <cols>
    <col min="1" max="1" width="25.7109375" bestFit="1" customWidth="1"/>
    <col min="2" max="2" width="65" bestFit="1" customWidth="1"/>
    <col min="3" max="3" width="9.28515625" bestFit="1" customWidth="1"/>
    <col min="4" max="4" width="6" bestFit="1" customWidth="1"/>
    <col min="5" max="5" width="7.5703125" bestFit="1" customWidth="1"/>
    <col min="6" max="6" width="14.570312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462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463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400</v>
      </c>
      <c r="C13" s="4">
        <v>45965</v>
      </c>
      <c r="D13" s="3" t="s">
        <v>21</v>
      </c>
      <c r="E13" s="3" t="s">
        <v>58</v>
      </c>
      <c r="F13" s="3" t="s">
        <v>97</v>
      </c>
      <c r="G13" s="3" t="s">
        <v>98</v>
      </c>
      <c r="H13" s="3" t="s">
        <v>112</v>
      </c>
      <c r="I13" s="3" t="s">
        <v>464</v>
      </c>
      <c r="J13" s="3" t="s">
        <v>465</v>
      </c>
      <c r="K13" s="3" t="s">
        <v>403</v>
      </c>
      <c r="L13" s="3" t="s">
        <v>404</v>
      </c>
      <c r="M13" s="8">
        <v>1</v>
      </c>
      <c r="N13" s="9">
        <v>0.4</v>
      </c>
      <c r="O13" s="8">
        <v>38.56</v>
      </c>
    </row>
    <row r="14" spans="1:15" x14ac:dyDescent="0.25">
      <c r="A14" s="3" t="s">
        <v>386</v>
      </c>
      <c r="B14" s="3" t="s">
        <v>400</v>
      </c>
      <c r="C14" s="4">
        <v>45971</v>
      </c>
      <c r="D14" s="3" t="s">
        <v>21</v>
      </c>
      <c r="E14" s="3" t="s">
        <v>38</v>
      </c>
      <c r="F14" s="3" t="s">
        <v>97</v>
      </c>
      <c r="G14" s="3" t="s">
        <v>98</v>
      </c>
      <c r="H14" s="3" t="s">
        <v>112</v>
      </c>
      <c r="I14" s="3" t="s">
        <v>466</v>
      </c>
      <c r="J14" s="3" t="s">
        <v>467</v>
      </c>
      <c r="K14" s="3" t="s">
        <v>393</v>
      </c>
      <c r="L14" s="3" t="s">
        <v>34</v>
      </c>
      <c r="M14" s="8">
        <v>1</v>
      </c>
      <c r="N14" s="9">
        <v>1.7</v>
      </c>
      <c r="O14" s="8">
        <v>163.87</v>
      </c>
    </row>
    <row r="15" spans="1:15" x14ac:dyDescent="0.25">
      <c r="A15" s="3" t="s">
        <v>386</v>
      </c>
      <c r="B15" s="3" t="s">
        <v>400</v>
      </c>
      <c r="C15" s="4">
        <v>45981</v>
      </c>
      <c r="D15" s="3" t="s">
        <v>21</v>
      </c>
      <c r="E15" s="3" t="s">
        <v>30</v>
      </c>
      <c r="F15" s="3" t="s">
        <v>97</v>
      </c>
      <c r="G15" s="3" t="s">
        <v>98</v>
      </c>
      <c r="H15" s="3" t="s">
        <v>112</v>
      </c>
      <c r="I15" s="3" t="s">
        <v>468</v>
      </c>
      <c r="J15" s="3" t="s">
        <v>469</v>
      </c>
      <c r="K15" s="3" t="s">
        <v>393</v>
      </c>
      <c r="L15" s="3" t="s">
        <v>68</v>
      </c>
      <c r="M15" s="8">
        <v>1</v>
      </c>
      <c r="N15" s="9">
        <v>1.88</v>
      </c>
      <c r="O15" s="8">
        <v>181.22</v>
      </c>
    </row>
    <row r="16" spans="1:15" x14ac:dyDescent="0.25">
      <c r="A16" s="3" t="s">
        <v>386</v>
      </c>
      <c r="B16" s="3" t="s">
        <v>400</v>
      </c>
      <c r="C16" s="4">
        <v>45990</v>
      </c>
      <c r="D16" s="3" t="s">
        <v>21</v>
      </c>
      <c r="E16" s="3" t="s">
        <v>22</v>
      </c>
      <c r="F16" s="3" t="s">
        <v>97</v>
      </c>
      <c r="G16" s="3" t="s">
        <v>98</v>
      </c>
      <c r="H16" s="3" t="s">
        <v>112</v>
      </c>
      <c r="I16" s="3" t="s">
        <v>470</v>
      </c>
      <c r="J16" s="3" t="s">
        <v>471</v>
      </c>
      <c r="K16" s="3" t="s">
        <v>390</v>
      </c>
      <c r="L16" s="3" t="s">
        <v>109</v>
      </c>
      <c r="M16" s="8">
        <v>1</v>
      </c>
      <c r="N16" s="9">
        <v>1.58</v>
      </c>
      <c r="O16" s="8">
        <v>152.30000000000001</v>
      </c>
    </row>
    <row r="17" spans="1:15" x14ac:dyDescent="0.25">
      <c r="A17" s="10" t="s">
        <v>1</v>
      </c>
      <c r="B17" s="10" t="s">
        <v>472</v>
      </c>
      <c r="C17" s="10" t="s">
        <v>1</v>
      </c>
      <c r="D17" s="10" t="s">
        <v>1</v>
      </c>
      <c r="E17" s="10" t="s">
        <v>1</v>
      </c>
      <c r="F17" s="10" t="s">
        <v>1</v>
      </c>
      <c r="G17" s="10" t="s">
        <v>1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</v>
      </c>
      <c r="M17" s="11">
        <v>4</v>
      </c>
      <c r="N17" s="11">
        <v>5.56</v>
      </c>
      <c r="O17" s="11">
        <v>535.94000000000005</v>
      </c>
    </row>
    <row r="18" spans="1:15" x14ac:dyDescent="0.25">
      <c r="B18" s="2" t="s">
        <v>1</v>
      </c>
    </row>
    <row r="19" spans="1:15" x14ac:dyDescent="0.25">
      <c r="B19" s="2" t="s">
        <v>473</v>
      </c>
    </row>
    <row r="20" spans="1:15" x14ac:dyDescent="0.25">
      <c r="B20" s="2" t="s">
        <v>1</v>
      </c>
    </row>
    <row r="21" spans="1:15" x14ac:dyDescent="0.25">
      <c r="A21" s="6" t="s">
        <v>4</v>
      </c>
      <c r="B21" s="6" t="s">
        <v>5</v>
      </c>
      <c r="C21" s="6" t="s">
        <v>6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11</v>
      </c>
      <c r="I21" s="6" t="s">
        <v>12</v>
      </c>
      <c r="J21" s="6" t="s">
        <v>13</v>
      </c>
      <c r="K21" s="6" t="s">
        <v>14</v>
      </c>
      <c r="L21" s="6" t="s">
        <v>15</v>
      </c>
      <c r="M21" s="6" t="s">
        <v>16</v>
      </c>
      <c r="N21" s="6" t="s">
        <v>17</v>
      </c>
      <c r="O21" s="6" t="s">
        <v>18</v>
      </c>
    </row>
    <row r="22" spans="1:15" x14ac:dyDescent="0.25">
      <c r="A22" s="3" t="s">
        <v>386</v>
      </c>
      <c r="B22" s="3" t="s">
        <v>417</v>
      </c>
      <c r="C22" s="4">
        <v>45964</v>
      </c>
      <c r="D22" s="3" t="s">
        <v>21</v>
      </c>
      <c r="E22" s="3" t="s">
        <v>38</v>
      </c>
      <c r="F22" s="3" t="s">
        <v>97</v>
      </c>
      <c r="G22" s="3" t="s">
        <v>98</v>
      </c>
      <c r="H22" s="3" t="s">
        <v>112</v>
      </c>
      <c r="I22" s="3" t="s">
        <v>474</v>
      </c>
      <c r="J22" s="3" t="s">
        <v>475</v>
      </c>
      <c r="K22" s="3" t="s">
        <v>403</v>
      </c>
      <c r="L22" s="3" t="s">
        <v>404</v>
      </c>
      <c r="M22" s="8">
        <v>1</v>
      </c>
      <c r="N22" s="9">
        <v>0.8</v>
      </c>
      <c r="O22" s="8">
        <v>77.11</v>
      </c>
    </row>
    <row r="23" spans="1:15" x14ac:dyDescent="0.25">
      <c r="A23" s="3" t="s">
        <v>386</v>
      </c>
      <c r="B23" s="3" t="s">
        <v>417</v>
      </c>
      <c r="C23" s="4">
        <v>45969</v>
      </c>
      <c r="D23" s="3" t="s">
        <v>21</v>
      </c>
      <c r="E23" s="3" t="s">
        <v>22</v>
      </c>
      <c r="F23" s="3" t="s">
        <v>97</v>
      </c>
      <c r="G23" s="3" t="s">
        <v>98</v>
      </c>
      <c r="H23" s="3" t="s">
        <v>112</v>
      </c>
      <c r="I23" s="3" t="s">
        <v>476</v>
      </c>
      <c r="J23" s="3" t="s">
        <v>477</v>
      </c>
      <c r="K23" s="3" t="s">
        <v>201</v>
      </c>
      <c r="L23" s="3" t="s">
        <v>202</v>
      </c>
      <c r="M23" s="8">
        <v>1</v>
      </c>
      <c r="N23" s="9">
        <v>0.76</v>
      </c>
      <c r="O23" s="8">
        <v>73.260000000000005</v>
      </c>
    </row>
    <row r="24" spans="1:15" x14ac:dyDescent="0.25">
      <c r="A24" s="3" t="s">
        <v>386</v>
      </c>
      <c r="B24" s="3" t="s">
        <v>417</v>
      </c>
      <c r="C24" s="4">
        <v>45971</v>
      </c>
      <c r="D24" s="3" t="s">
        <v>21</v>
      </c>
      <c r="E24" s="3" t="s">
        <v>38</v>
      </c>
      <c r="F24" s="3" t="s">
        <v>97</v>
      </c>
      <c r="G24" s="3" t="s">
        <v>98</v>
      </c>
      <c r="H24" s="3" t="s">
        <v>112</v>
      </c>
      <c r="I24" s="3" t="s">
        <v>478</v>
      </c>
      <c r="J24" s="3" t="s">
        <v>479</v>
      </c>
      <c r="K24" s="3" t="s">
        <v>105</v>
      </c>
      <c r="L24" s="3" t="s">
        <v>106</v>
      </c>
      <c r="M24" s="8">
        <v>1</v>
      </c>
      <c r="N24" s="9">
        <v>0.56000000000000005</v>
      </c>
      <c r="O24" s="8">
        <v>53.98</v>
      </c>
    </row>
    <row r="25" spans="1:15" x14ac:dyDescent="0.25">
      <c r="A25" s="3" t="s">
        <v>386</v>
      </c>
      <c r="B25" s="3" t="s">
        <v>417</v>
      </c>
      <c r="C25" s="4">
        <v>45976</v>
      </c>
      <c r="D25" s="3" t="s">
        <v>21</v>
      </c>
      <c r="E25" s="3" t="s">
        <v>22</v>
      </c>
      <c r="F25" s="3" t="s">
        <v>97</v>
      </c>
      <c r="G25" s="3" t="s">
        <v>98</v>
      </c>
      <c r="H25" s="3" t="s">
        <v>112</v>
      </c>
      <c r="I25" s="3" t="s">
        <v>480</v>
      </c>
      <c r="J25" s="3" t="s">
        <v>481</v>
      </c>
      <c r="K25" s="3" t="s">
        <v>390</v>
      </c>
      <c r="L25" s="3" t="s">
        <v>47</v>
      </c>
      <c r="M25" s="8">
        <v>1</v>
      </c>
      <c r="N25" s="9">
        <v>0.78</v>
      </c>
      <c r="O25" s="8">
        <v>75.19</v>
      </c>
    </row>
    <row r="26" spans="1:15" x14ac:dyDescent="0.25">
      <c r="A26" s="3" t="s">
        <v>386</v>
      </c>
      <c r="B26" s="3" t="s">
        <v>417</v>
      </c>
      <c r="C26" s="4">
        <v>45980</v>
      </c>
      <c r="D26" s="3" t="s">
        <v>21</v>
      </c>
      <c r="E26" s="3" t="s">
        <v>35</v>
      </c>
      <c r="F26" s="3" t="s">
        <v>97</v>
      </c>
      <c r="G26" s="3" t="s">
        <v>98</v>
      </c>
      <c r="H26" s="3" t="s">
        <v>112</v>
      </c>
      <c r="I26" s="3" t="s">
        <v>482</v>
      </c>
      <c r="J26" s="3" t="s">
        <v>483</v>
      </c>
      <c r="K26" s="3" t="s">
        <v>403</v>
      </c>
      <c r="L26" s="3" t="s">
        <v>404</v>
      </c>
      <c r="M26" s="8">
        <v>1</v>
      </c>
      <c r="N26" s="9">
        <v>0.57999999999999996</v>
      </c>
      <c r="O26" s="8">
        <v>55.91</v>
      </c>
    </row>
    <row r="27" spans="1:15" x14ac:dyDescent="0.25">
      <c r="A27" s="3" t="s">
        <v>386</v>
      </c>
      <c r="B27" s="3" t="s">
        <v>417</v>
      </c>
      <c r="C27" s="4">
        <v>45983</v>
      </c>
      <c r="D27" s="3" t="s">
        <v>21</v>
      </c>
      <c r="E27" s="3" t="s">
        <v>22</v>
      </c>
      <c r="F27" s="3" t="s">
        <v>97</v>
      </c>
      <c r="G27" s="3" t="s">
        <v>98</v>
      </c>
      <c r="H27" s="3" t="s">
        <v>112</v>
      </c>
      <c r="I27" s="3" t="s">
        <v>484</v>
      </c>
      <c r="J27" s="3" t="s">
        <v>485</v>
      </c>
      <c r="K27" s="3" t="s">
        <v>33</v>
      </c>
      <c r="L27" s="3" t="s">
        <v>109</v>
      </c>
      <c r="M27" s="8">
        <v>1</v>
      </c>
      <c r="N27" s="9">
        <v>0.44</v>
      </c>
      <c r="O27" s="8">
        <v>42.41</v>
      </c>
    </row>
    <row r="28" spans="1:15" x14ac:dyDescent="0.25">
      <c r="A28" s="3" t="s">
        <v>386</v>
      </c>
      <c r="B28" s="3" t="s">
        <v>417</v>
      </c>
      <c r="C28" s="4">
        <v>45986</v>
      </c>
      <c r="D28" s="3" t="s">
        <v>21</v>
      </c>
      <c r="E28" s="3" t="s">
        <v>58</v>
      </c>
      <c r="F28" s="3" t="s">
        <v>97</v>
      </c>
      <c r="G28" s="3" t="s">
        <v>98</v>
      </c>
      <c r="H28" s="3" t="s">
        <v>112</v>
      </c>
      <c r="I28" s="3" t="s">
        <v>486</v>
      </c>
      <c r="J28" s="3" t="s">
        <v>487</v>
      </c>
      <c r="K28" s="3" t="s">
        <v>187</v>
      </c>
      <c r="L28" s="3" t="s">
        <v>92</v>
      </c>
      <c r="M28" s="8">
        <v>1</v>
      </c>
      <c r="N28" s="9">
        <v>0.56000000000000005</v>
      </c>
      <c r="O28" s="8">
        <v>53.98</v>
      </c>
    </row>
    <row r="29" spans="1:15" x14ac:dyDescent="0.25">
      <c r="A29" s="3" t="s">
        <v>386</v>
      </c>
      <c r="B29" s="3" t="s">
        <v>417</v>
      </c>
      <c r="C29" s="4">
        <v>45990</v>
      </c>
      <c r="D29" s="3" t="s">
        <v>21</v>
      </c>
      <c r="E29" s="3" t="s">
        <v>22</v>
      </c>
      <c r="F29" s="3" t="s">
        <v>97</v>
      </c>
      <c r="G29" s="3" t="s">
        <v>98</v>
      </c>
      <c r="H29" s="3" t="s">
        <v>112</v>
      </c>
      <c r="I29" s="3" t="s">
        <v>488</v>
      </c>
      <c r="J29" s="3" t="s">
        <v>489</v>
      </c>
      <c r="K29" s="3" t="s">
        <v>452</v>
      </c>
      <c r="L29" s="3" t="s">
        <v>47</v>
      </c>
      <c r="M29" s="8">
        <v>1</v>
      </c>
      <c r="N29" s="9">
        <v>0.44</v>
      </c>
      <c r="O29" s="8">
        <v>42.41</v>
      </c>
    </row>
    <row r="30" spans="1:15" x14ac:dyDescent="0.25">
      <c r="A30" s="10" t="s">
        <v>1</v>
      </c>
      <c r="B30" s="10" t="s">
        <v>490</v>
      </c>
      <c r="C30" s="10" t="s">
        <v>1</v>
      </c>
      <c r="D30" s="10" t="s">
        <v>1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1">
        <v>8</v>
      </c>
      <c r="N30" s="11">
        <v>4.92</v>
      </c>
      <c r="O30" s="11">
        <v>474.25</v>
      </c>
    </row>
    <row r="31" spans="1:15" x14ac:dyDescent="0.25">
      <c r="B31" s="2" t="s">
        <v>1</v>
      </c>
    </row>
    <row r="32" spans="1:15" x14ac:dyDescent="0.25">
      <c r="B32" s="2" t="s">
        <v>491</v>
      </c>
    </row>
    <row r="33" spans="1:15" x14ac:dyDescent="0.25">
      <c r="B33" s="2" t="s">
        <v>1</v>
      </c>
    </row>
    <row r="34" spans="1:15" x14ac:dyDescent="0.25">
      <c r="A34" s="6" t="s">
        <v>4</v>
      </c>
      <c r="B34" s="6" t="s">
        <v>5</v>
      </c>
      <c r="C34" s="6" t="s">
        <v>6</v>
      </c>
      <c r="D34" s="6" t="s">
        <v>7</v>
      </c>
      <c r="E34" s="6" t="s">
        <v>8</v>
      </c>
      <c r="F34" s="6" t="s">
        <v>9</v>
      </c>
      <c r="G34" s="6" t="s">
        <v>10</v>
      </c>
      <c r="H34" s="6" t="s">
        <v>11</v>
      </c>
      <c r="I34" s="6" t="s">
        <v>12</v>
      </c>
      <c r="J34" s="6" t="s">
        <v>13</v>
      </c>
      <c r="K34" s="6" t="s">
        <v>14</v>
      </c>
      <c r="L34" s="6" t="s">
        <v>15</v>
      </c>
      <c r="M34" s="6" t="s">
        <v>16</v>
      </c>
      <c r="N34" s="6" t="s">
        <v>17</v>
      </c>
      <c r="O34" s="6" t="s">
        <v>18</v>
      </c>
    </row>
    <row r="35" spans="1:15" x14ac:dyDescent="0.25">
      <c r="A35" s="3" t="s">
        <v>386</v>
      </c>
      <c r="B35" s="3" t="s">
        <v>425</v>
      </c>
      <c r="C35" s="4">
        <v>45971</v>
      </c>
      <c r="D35" s="3" t="s">
        <v>21</v>
      </c>
      <c r="E35" s="3" t="s">
        <v>38</v>
      </c>
      <c r="F35" s="3" t="s">
        <v>97</v>
      </c>
      <c r="G35" s="3" t="s">
        <v>98</v>
      </c>
      <c r="H35" s="3" t="s">
        <v>112</v>
      </c>
      <c r="I35" s="3" t="s">
        <v>492</v>
      </c>
      <c r="J35" s="3" t="s">
        <v>493</v>
      </c>
      <c r="K35" s="3" t="s">
        <v>403</v>
      </c>
      <c r="L35" s="3" t="s">
        <v>404</v>
      </c>
      <c r="M35" s="8">
        <v>1</v>
      </c>
      <c r="N35" s="9">
        <v>0.7</v>
      </c>
      <c r="O35" s="8">
        <v>67.47</v>
      </c>
    </row>
    <row r="36" spans="1:15" x14ac:dyDescent="0.25">
      <c r="A36" s="3" t="s">
        <v>386</v>
      </c>
      <c r="B36" s="3" t="s">
        <v>425</v>
      </c>
      <c r="C36" s="4">
        <v>45975</v>
      </c>
      <c r="D36" s="3" t="s">
        <v>21</v>
      </c>
      <c r="E36" s="3" t="s">
        <v>44</v>
      </c>
      <c r="F36" s="3" t="s">
        <v>97</v>
      </c>
      <c r="G36" s="3" t="s">
        <v>98</v>
      </c>
      <c r="H36" s="3" t="s">
        <v>112</v>
      </c>
      <c r="I36" s="3" t="s">
        <v>113</v>
      </c>
      <c r="J36" s="3" t="s">
        <v>494</v>
      </c>
      <c r="K36" s="3" t="s">
        <v>403</v>
      </c>
      <c r="L36" s="3" t="s">
        <v>404</v>
      </c>
      <c r="M36" s="8">
        <v>1</v>
      </c>
      <c r="N36" s="9">
        <v>0.8</v>
      </c>
      <c r="O36" s="8">
        <v>77.11</v>
      </c>
    </row>
    <row r="37" spans="1:15" x14ac:dyDescent="0.25">
      <c r="A37" s="3" t="s">
        <v>386</v>
      </c>
      <c r="B37" s="3" t="s">
        <v>425</v>
      </c>
      <c r="C37" s="4">
        <v>45979</v>
      </c>
      <c r="D37" s="3" t="s">
        <v>21</v>
      </c>
      <c r="E37" s="3" t="s">
        <v>58</v>
      </c>
      <c r="F37" s="3" t="s">
        <v>97</v>
      </c>
      <c r="G37" s="3" t="s">
        <v>98</v>
      </c>
      <c r="H37" s="3" t="s">
        <v>112</v>
      </c>
      <c r="I37" s="3" t="s">
        <v>495</v>
      </c>
      <c r="J37" s="3" t="s">
        <v>496</v>
      </c>
      <c r="K37" s="3" t="s">
        <v>403</v>
      </c>
      <c r="L37" s="3" t="s">
        <v>404</v>
      </c>
      <c r="M37" s="8">
        <v>1</v>
      </c>
      <c r="N37" s="9">
        <v>0.82</v>
      </c>
      <c r="O37" s="8">
        <v>79.040000000000006</v>
      </c>
    </row>
    <row r="38" spans="1:15" x14ac:dyDescent="0.25">
      <c r="A38" s="3" t="s">
        <v>386</v>
      </c>
      <c r="B38" s="3" t="s">
        <v>425</v>
      </c>
      <c r="C38" s="4">
        <v>45986</v>
      </c>
      <c r="D38" s="3" t="s">
        <v>21</v>
      </c>
      <c r="E38" s="3" t="s">
        <v>58</v>
      </c>
      <c r="F38" s="3" t="s">
        <v>97</v>
      </c>
      <c r="G38" s="3" t="s">
        <v>98</v>
      </c>
      <c r="H38" s="3" t="s">
        <v>112</v>
      </c>
      <c r="I38" s="3" t="s">
        <v>497</v>
      </c>
      <c r="J38" s="3" t="s">
        <v>498</v>
      </c>
      <c r="K38" s="3" t="s">
        <v>403</v>
      </c>
      <c r="L38" s="3" t="s">
        <v>404</v>
      </c>
      <c r="M38" s="8">
        <v>1</v>
      </c>
      <c r="N38" s="9">
        <v>1.02</v>
      </c>
      <c r="O38" s="8">
        <v>98.32</v>
      </c>
    </row>
    <row r="39" spans="1:15" x14ac:dyDescent="0.25">
      <c r="A39" s="10" t="s">
        <v>1</v>
      </c>
      <c r="B39" s="10" t="s">
        <v>499</v>
      </c>
      <c r="C39" s="10" t="s">
        <v>1</v>
      </c>
      <c r="D39" s="10" t="s">
        <v>1</v>
      </c>
      <c r="E39" s="10" t="s">
        <v>1</v>
      </c>
      <c r="F39" s="10" t="s">
        <v>1</v>
      </c>
      <c r="G39" s="10" t="s">
        <v>1</v>
      </c>
      <c r="H39" s="10" t="s">
        <v>1</v>
      </c>
      <c r="I39" s="10" t="s">
        <v>1</v>
      </c>
      <c r="J39" s="10" t="s">
        <v>1</v>
      </c>
      <c r="K39" s="10" t="s">
        <v>1</v>
      </c>
      <c r="L39" s="10" t="s">
        <v>1</v>
      </c>
      <c r="M39" s="11">
        <v>4</v>
      </c>
      <c r="N39" s="11">
        <v>3.34</v>
      </c>
      <c r="O39" s="11">
        <v>321.94</v>
      </c>
    </row>
    <row r="40" spans="1:15" x14ac:dyDescent="0.25">
      <c r="B40" s="2" t="s">
        <v>1</v>
      </c>
    </row>
    <row r="41" spans="1:15" x14ac:dyDescent="0.25">
      <c r="B41" s="2" t="s">
        <v>500</v>
      </c>
    </row>
    <row r="42" spans="1:15" x14ac:dyDescent="0.25">
      <c r="B42" s="2" t="s">
        <v>1</v>
      </c>
    </row>
    <row r="43" spans="1:15" x14ac:dyDescent="0.25">
      <c r="A43" s="6" t="s">
        <v>4</v>
      </c>
      <c r="B43" s="6" t="s">
        <v>5</v>
      </c>
      <c r="C43" s="6" t="s">
        <v>6</v>
      </c>
      <c r="D43" s="6" t="s">
        <v>7</v>
      </c>
      <c r="E43" s="6" t="s">
        <v>8</v>
      </c>
      <c r="F43" s="6" t="s">
        <v>9</v>
      </c>
      <c r="G43" s="6" t="s">
        <v>10</v>
      </c>
      <c r="H43" s="6" t="s">
        <v>11</v>
      </c>
      <c r="I43" s="6" t="s">
        <v>12</v>
      </c>
      <c r="J43" s="6" t="s">
        <v>13</v>
      </c>
      <c r="K43" s="6" t="s">
        <v>14</v>
      </c>
      <c r="L43" s="6" t="s">
        <v>15</v>
      </c>
      <c r="M43" s="6" t="s">
        <v>16</v>
      </c>
      <c r="N43" s="6" t="s">
        <v>17</v>
      </c>
      <c r="O43" s="6" t="s">
        <v>18</v>
      </c>
    </row>
    <row r="44" spans="1:15" x14ac:dyDescent="0.25">
      <c r="A44" s="3" t="s">
        <v>386</v>
      </c>
      <c r="B44" s="3" t="s">
        <v>434</v>
      </c>
      <c r="C44" s="4">
        <v>45967</v>
      </c>
      <c r="D44" s="3" t="s">
        <v>21</v>
      </c>
      <c r="E44" s="3" t="s">
        <v>30</v>
      </c>
      <c r="F44" s="3" t="s">
        <v>97</v>
      </c>
      <c r="G44" s="3" t="s">
        <v>98</v>
      </c>
      <c r="H44" s="3" t="s">
        <v>112</v>
      </c>
      <c r="I44" s="3" t="s">
        <v>501</v>
      </c>
      <c r="J44" s="3" t="s">
        <v>502</v>
      </c>
      <c r="K44" s="3" t="s">
        <v>403</v>
      </c>
      <c r="L44" s="3" t="s">
        <v>404</v>
      </c>
      <c r="M44" s="8">
        <v>1</v>
      </c>
      <c r="N44" s="9">
        <v>0.64</v>
      </c>
      <c r="O44" s="8">
        <v>61.69</v>
      </c>
    </row>
    <row r="45" spans="1:15" x14ac:dyDescent="0.25">
      <c r="A45" s="3" t="s">
        <v>386</v>
      </c>
      <c r="B45" s="3" t="s">
        <v>434</v>
      </c>
      <c r="C45" s="4">
        <v>45976</v>
      </c>
      <c r="D45" s="3" t="s">
        <v>21</v>
      </c>
      <c r="E45" s="3" t="s">
        <v>22</v>
      </c>
      <c r="F45" s="3" t="s">
        <v>97</v>
      </c>
      <c r="G45" s="3" t="s">
        <v>98</v>
      </c>
      <c r="H45" s="3" t="s">
        <v>112</v>
      </c>
      <c r="I45" s="3" t="s">
        <v>503</v>
      </c>
      <c r="J45" s="3" t="s">
        <v>504</v>
      </c>
      <c r="K45" s="3" t="s">
        <v>390</v>
      </c>
      <c r="L45" s="3" t="s">
        <v>47</v>
      </c>
      <c r="M45" s="8">
        <v>1</v>
      </c>
      <c r="N45" s="9">
        <v>0.66</v>
      </c>
      <c r="O45" s="8">
        <v>63.62</v>
      </c>
    </row>
    <row r="46" spans="1:15" x14ac:dyDescent="0.25">
      <c r="A46" s="3" t="s">
        <v>386</v>
      </c>
      <c r="B46" s="3" t="s">
        <v>434</v>
      </c>
      <c r="C46" s="4">
        <v>45986</v>
      </c>
      <c r="D46" s="3" t="s">
        <v>21</v>
      </c>
      <c r="E46" s="3" t="s">
        <v>58</v>
      </c>
      <c r="F46" s="3" t="s">
        <v>97</v>
      </c>
      <c r="G46" s="3" t="s">
        <v>98</v>
      </c>
      <c r="H46" s="3" t="s">
        <v>112</v>
      </c>
      <c r="I46" s="3" t="s">
        <v>505</v>
      </c>
      <c r="J46" s="3" t="s">
        <v>506</v>
      </c>
      <c r="K46" s="3" t="s">
        <v>71</v>
      </c>
      <c r="L46" s="3" t="s">
        <v>63</v>
      </c>
      <c r="M46" s="8">
        <v>1</v>
      </c>
      <c r="N46" s="9">
        <v>0.78</v>
      </c>
      <c r="O46" s="8">
        <v>75.19</v>
      </c>
    </row>
    <row r="47" spans="1:15" x14ac:dyDescent="0.25">
      <c r="A47" s="3" t="s">
        <v>386</v>
      </c>
      <c r="B47" s="3" t="s">
        <v>434</v>
      </c>
      <c r="C47" s="4">
        <v>45990</v>
      </c>
      <c r="D47" s="3" t="s">
        <v>21</v>
      </c>
      <c r="E47" s="3" t="s">
        <v>22</v>
      </c>
      <c r="F47" s="3" t="s">
        <v>97</v>
      </c>
      <c r="G47" s="3" t="s">
        <v>98</v>
      </c>
      <c r="H47" s="3" t="s">
        <v>112</v>
      </c>
      <c r="I47" s="3" t="s">
        <v>507</v>
      </c>
      <c r="J47" s="3" t="s">
        <v>508</v>
      </c>
      <c r="K47" s="3" t="s">
        <v>452</v>
      </c>
      <c r="L47" s="3" t="s">
        <v>47</v>
      </c>
      <c r="M47" s="8">
        <v>1</v>
      </c>
      <c r="N47" s="9">
        <v>0.5</v>
      </c>
      <c r="O47" s="8">
        <v>48.2</v>
      </c>
    </row>
    <row r="48" spans="1:15" x14ac:dyDescent="0.25">
      <c r="A48" s="10" t="s">
        <v>1</v>
      </c>
      <c r="B48" s="10" t="s">
        <v>509</v>
      </c>
      <c r="C48" s="10" t="s">
        <v>1</v>
      </c>
      <c r="D48" s="10" t="s">
        <v>1</v>
      </c>
      <c r="E48" s="10" t="s">
        <v>1</v>
      </c>
      <c r="F48" s="10" t="s">
        <v>1</v>
      </c>
      <c r="G48" s="10" t="s">
        <v>1</v>
      </c>
      <c r="H48" s="10" t="s">
        <v>1</v>
      </c>
      <c r="I48" s="10" t="s">
        <v>1</v>
      </c>
      <c r="J48" s="10" t="s">
        <v>1</v>
      </c>
      <c r="K48" s="10" t="s">
        <v>1</v>
      </c>
      <c r="L48" s="10" t="s">
        <v>1</v>
      </c>
      <c r="M48" s="11">
        <v>4</v>
      </c>
      <c r="N48" s="11">
        <v>2.58</v>
      </c>
      <c r="O48" s="11">
        <v>248.7</v>
      </c>
    </row>
    <row r="49" spans="1:15" x14ac:dyDescent="0.25">
      <c r="A49" s="5" t="s">
        <v>1</v>
      </c>
      <c r="B49" s="5" t="s">
        <v>110</v>
      </c>
      <c r="C49" s="5" t="s">
        <v>1</v>
      </c>
      <c r="D49" s="5" t="s">
        <v>1</v>
      </c>
      <c r="E49" s="5" t="s">
        <v>1</v>
      </c>
      <c r="F49" s="5" t="s">
        <v>1</v>
      </c>
      <c r="G49" s="5" t="s">
        <v>1</v>
      </c>
      <c r="H49" s="5" t="s">
        <v>1</v>
      </c>
      <c r="I49" s="5" t="s">
        <v>1</v>
      </c>
      <c r="J49" s="5" t="s">
        <v>1</v>
      </c>
      <c r="K49" s="5" t="s">
        <v>1</v>
      </c>
      <c r="L49" s="5" t="s">
        <v>1</v>
      </c>
      <c r="M49" s="8">
        <v>20</v>
      </c>
      <c r="N49" s="9">
        <v>16.399999999999999</v>
      </c>
      <c r="O49" s="8">
        <v>1580.83</v>
      </c>
    </row>
    <row r="50" spans="1:15" x14ac:dyDescent="0.25">
      <c r="B50" s="2" t="s">
        <v>1</v>
      </c>
    </row>
    <row r="51" spans="1:15" x14ac:dyDescent="0.25">
      <c r="B51" s="2" t="s">
        <v>443</v>
      </c>
    </row>
    <row r="52" spans="1:15" x14ac:dyDescent="0.25">
      <c r="B52" s="2" t="s">
        <v>1</v>
      </c>
    </row>
    <row r="53" spans="1:15" x14ac:dyDescent="0.25">
      <c r="A53" s="6" t="s">
        <v>4</v>
      </c>
      <c r="B53" s="6" t="s">
        <v>5</v>
      </c>
      <c r="C53" s="6" t="s">
        <v>6</v>
      </c>
      <c r="D53" s="6" t="s">
        <v>7</v>
      </c>
      <c r="E53" s="6" t="s">
        <v>8</v>
      </c>
      <c r="F53" s="6" t="s">
        <v>9</v>
      </c>
      <c r="G53" s="6" t="s">
        <v>10</v>
      </c>
      <c r="H53" s="6" t="s">
        <v>11</v>
      </c>
      <c r="I53" s="6" t="s">
        <v>12</v>
      </c>
      <c r="J53" s="6" t="s">
        <v>13</v>
      </c>
      <c r="K53" s="6" t="s">
        <v>14</v>
      </c>
      <c r="L53" s="6" t="s">
        <v>15</v>
      </c>
      <c r="M53" s="6" t="s">
        <v>16</v>
      </c>
      <c r="N53" s="6" t="s">
        <v>17</v>
      </c>
      <c r="O53" s="6" t="s">
        <v>18</v>
      </c>
    </row>
    <row r="54" spans="1:15" x14ac:dyDescent="0.25">
      <c r="A54" s="3" t="s">
        <v>386</v>
      </c>
      <c r="B54" s="3" t="s">
        <v>444</v>
      </c>
      <c r="C54" s="4">
        <v>45990</v>
      </c>
      <c r="D54" s="3" t="s">
        <v>21</v>
      </c>
      <c r="E54" s="3" t="s">
        <v>22</v>
      </c>
      <c r="F54" s="3" t="s">
        <v>97</v>
      </c>
      <c r="G54" s="3" t="s">
        <v>98</v>
      </c>
      <c r="H54" s="3" t="s">
        <v>123</v>
      </c>
      <c r="I54" s="3" t="s">
        <v>510</v>
      </c>
      <c r="J54" s="3" t="s">
        <v>511</v>
      </c>
      <c r="K54" s="3" t="s">
        <v>71</v>
      </c>
      <c r="L54" s="3" t="s">
        <v>63</v>
      </c>
      <c r="M54" s="8">
        <v>1</v>
      </c>
      <c r="N54" s="9">
        <v>3.56</v>
      </c>
      <c r="O54" s="8">
        <v>148.58000000000001</v>
      </c>
    </row>
    <row r="55" spans="1:15" x14ac:dyDescent="0.25">
      <c r="A55" s="10" t="s">
        <v>1</v>
      </c>
      <c r="B55" s="10" t="s">
        <v>447</v>
      </c>
      <c r="C55" s="10" t="s">
        <v>1</v>
      </c>
      <c r="D55" s="10" t="s">
        <v>1</v>
      </c>
      <c r="E55" s="10" t="s">
        <v>1</v>
      </c>
      <c r="F55" s="10" t="s">
        <v>1</v>
      </c>
      <c r="G55" s="10" t="s">
        <v>1</v>
      </c>
      <c r="H55" s="10" t="s">
        <v>1</v>
      </c>
      <c r="I55" s="10" t="s">
        <v>1</v>
      </c>
      <c r="J55" s="10" t="s">
        <v>1</v>
      </c>
      <c r="K55" s="10" t="s">
        <v>1</v>
      </c>
      <c r="L55" s="10" t="s">
        <v>1</v>
      </c>
      <c r="M55" s="11">
        <v>1</v>
      </c>
      <c r="N55" s="11">
        <v>3.56</v>
      </c>
      <c r="O55" s="11">
        <v>148.58000000000001</v>
      </c>
    </row>
    <row r="56" spans="1:15" x14ac:dyDescent="0.25">
      <c r="A56" s="5" t="s">
        <v>1</v>
      </c>
      <c r="B56" s="5" t="s">
        <v>110</v>
      </c>
      <c r="C56" s="5" t="s">
        <v>1</v>
      </c>
      <c r="D56" s="5" t="s">
        <v>1</v>
      </c>
      <c r="E56" s="5" t="s">
        <v>1</v>
      </c>
      <c r="F56" s="5" t="s">
        <v>1</v>
      </c>
      <c r="G56" s="5" t="s">
        <v>1</v>
      </c>
      <c r="H56" s="5" t="s">
        <v>1</v>
      </c>
      <c r="I56" s="5" t="s">
        <v>1</v>
      </c>
      <c r="J56" s="5" t="s">
        <v>1</v>
      </c>
      <c r="K56" s="5" t="s">
        <v>1</v>
      </c>
      <c r="L56" s="5" t="s">
        <v>1</v>
      </c>
      <c r="M56" s="8">
        <v>1</v>
      </c>
      <c r="N56" s="9">
        <v>3.56</v>
      </c>
      <c r="O56" s="8">
        <v>148.58000000000001</v>
      </c>
    </row>
    <row r="57" spans="1:15" x14ac:dyDescent="0.25">
      <c r="A57" s="10" t="s">
        <v>1</v>
      </c>
      <c r="B57" s="10" t="s">
        <v>512</v>
      </c>
      <c r="C57" s="10" t="s">
        <v>1</v>
      </c>
      <c r="D57" s="10" t="s">
        <v>1</v>
      </c>
      <c r="E57" s="10" t="s">
        <v>1</v>
      </c>
      <c r="F57" s="10" t="s">
        <v>1</v>
      </c>
      <c r="G57" s="10" t="s">
        <v>1</v>
      </c>
      <c r="H57" s="10" t="s">
        <v>1</v>
      </c>
      <c r="I57" s="10" t="s">
        <v>1</v>
      </c>
      <c r="J57" s="10" t="s">
        <v>1</v>
      </c>
      <c r="K57" s="10" t="s">
        <v>1</v>
      </c>
      <c r="L57" s="10" t="s">
        <v>1</v>
      </c>
      <c r="M57" s="11">
        <v>21</v>
      </c>
      <c r="N57" s="11">
        <v>19.96</v>
      </c>
      <c r="O57" s="11">
        <v>1729.41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30"/>
  <sheetViews>
    <sheetView topLeftCell="A7" workbookViewId="0"/>
  </sheetViews>
  <sheetFormatPr baseColWidth="10" defaultColWidth="9.140625" defaultRowHeight="15" x14ac:dyDescent="0.25"/>
  <cols>
    <col min="1" max="1" width="25.7109375" bestFit="1" customWidth="1"/>
    <col min="2" max="2" width="76.28515625" bestFit="1" customWidth="1"/>
    <col min="3" max="3" width="9.28515625" bestFit="1" customWidth="1"/>
    <col min="4" max="4" width="6" bestFit="1" customWidth="1"/>
    <col min="5" max="5" width="6.28515625" bestFit="1" customWidth="1"/>
    <col min="6" max="6" width="34.7109375" bestFit="1" customWidth="1"/>
    <col min="7" max="7" width="9.42578125" bestFit="1" customWidth="1"/>
    <col min="8" max="8" width="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855468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513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514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386</v>
      </c>
      <c r="B13" s="12" t="s">
        <v>387</v>
      </c>
      <c r="C13" s="7">
        <v>45962</v>
      </c>
      <c r="D13" s="12" t="s">
        <v>82</v>
      </c>
      <c r="E13" s="12" t="s">
        <v>22</v>
      </c>
      <c r="F13" s="12" t="s">
        <v>131</v>
      </c>
      <c r="G13" s="12" t="s">
        <v>98</v>
      </c>
      <c r="H13" s="12" t="s">
        <v>112</v>
      </c>
      <c r="I13" s="12" t="s">
        <v>515</v>
      </c>
      <c r="J13" s="12" t="s">
        <v>516</v>
      </c>
      <c r="K13" s="12" t="s">
        <v>62</v>
      </c>
      <c r="L13" s="12" t="s">
        <v>65</v>
      </c>
      <c r="M13" s="13">
        <v>1</v>
      </c>
      <c r="N13" s="13">
        <v>1.02</v>
      </c>
      <c r="O13" s="13">
        <v>119.6</v>
      </c>
    </row>
    <row r="14" spans="1:15" x14ac:dyDescent="0.25">
      <c r="A14" s="12" t="s">
        <v>386</v>
      </c>
      <c r="B14" s="12" t="s">
        <v>387</v>
      </c>
      <c r="C14" s="7">
        <v>45972</v>
      </c>
      <c r="D14" s="12" t="s">
        <v>82</v>
      </c>
      <c r="E14" s="12" t="s">
        <v>58</v>
      </c>
      <c r="F14" s="12" t="s">
        <v>131</v>
      </c>
      <c r="G14" s="12" t="s">
        <v>98</v>
      </c>
      <c r="H14" s="12" t="s">
        <v>112</v>
      </c>
      <c r="I14" s="12" t="s">
        <v>517</v>
      </c>
      <c r="J14" s="12" t="s">
        <v>518</v>
      </c>
      <c r="K14" s="12" t="s">
        <v>71</v>
      </c>
      <c r="L14" s="12" t="s">
        <v>63</v>
      </c>
      <c r="M14" s="13">
        <v>1</v>
      </c>
      <c r="N14" s="13">
        <v>1.3</v>
      </c>
      <c r="O14" s="13">
        <v>152.43</v>
      </c>
    </row>
    <row r="15" spans="1:15" x14ac:dyDescent="0.25">
      <c r="A15" s="10" t="s">
        <v>1</v>
      </c>
      <c r="B15" s="10" t="s">
        <v>519</v>
      </c>
      <c r="C15" s="10" t="s">
        <v>1</v>
      </c>
      <c r="D15" s="10" t="s">
        <v>1</v>
      </c>
      <c r="E15" s="10" t="s">
        <v>1</v>
      </c>
      <c r="F15" s="10" t="s">
        <v>1</v>
      </c>
      <c r="G15" s="10" t="s">
        <v>1</v>
      </c>
      <c r="H15" s="10" t="s">
        <v>1</v>
      </c>
      <c r="I15" s="10" t="s">
        <v>1</v>
      </c>
      <c r="J15" s="10" t="s">
        <v>1</v>
      </c>
      <c r="K15" s="10" t="s">
        <v>1</v>
      </c>
      <c r="L15" s="10" t="s">
        <v>1</v>
      </c>
      <c r="M15" s="11">
        <v>2</v>
      </c>
      <c r="N15" s="11">
        <v>2.3199999999999998</v>
      </c>
      <c r="O15" s="11">
        <v>272.02999999999997</v>
      </c>
    </row>
    <row r="16" spans="1:15" x14ac:dyDescent="0.25">
      <c r="B16" s="2" t="s">
        <v>1</v>
      </c>
    </row>
    <row r="17" spans="1:15" x14ac:dyDescent="0.25">
      <c r="B17" s="2" t="s">
        <v>463</v>
      </c>
    </row>
    <row r="18" spans="1:15" x14ac:dyDescent="0.25">
      <c r="B18" s="2" t="s">
        <v>1</v>
      </c>
    </row>
    <row r="19" spans="1:15" x14ac:dyDescent="0.25">
      <c r="A19" s="6" t="s">
        <v>4</v>
      </c>
      <c r="B19" s="6" t="s">
        <v>5</v>
      </c>
      <c r="C19" s="6" t="s">
        <v>6</v>
      </c>
      <c r="D19" s="6" t="s">
        <v>7</v>
      </c>
      <c r="E19" s="6" t="s">
        <v>8</v>
      </c>
      <c r="F19" s="6" t="s">
        <v>9</v>
      </c>
      <c r="G19" s="6" t="s">
        <v>10</v>
      </c>
      <c r="H19" s="6" t="s">
        <v>11</v>
      </c>
      <c r="I19" s="6" t="s">
        <v>12</v>
      </c>
      <c r="J19" s="6" t="s">
        <v>13</v>
      </c>
      <c r="K19" s="6" t="s">
        <v>14</v>
      </c>
      <c r="L19" s="6" t="s">
        <v>15</v>
      </c>
      <c r="M19" s="6" t="s">
        <v>16</v>
      </c>
      <c r="N19" s="6" t="s">
        <v>17</v>
      </c>
      <c r="O19" s="6" t="s">
        <v>18</v>
      </c>
    </row>
    <row r="20" spans="1:15" x14ac:dyDescent="0.25">
      <c r="A20" s="12" t="s">
        <v>386</v>
      </c>
      <c r="B20" s="12" t="s">
        <v>400</v>
      </c>
      <c r="C20" s="7">
        <v>45962</v>
      </c>
      <c r="D20" s="12" t="s">
        <v>82</v>
      </c>
      <c r="E20" s="12" t="s">
        <v>22</v>
      </c>
      <c r="F20" s="12" t="s">
        <v>131</v>
      </c>
      <c r="G20" s="12" t="s">
        <v>98</v>
      </c>
      <c r="H20" s="12" t="s">
        <v>112</v>
      </c>
      <c r="I20" s="12" t="s">
        <v>520</v>
      </c>
      <c r="J20" s="12" t="s">
        <v>521</v>
      </c>
      <c r="K20" s="12" t="s">
        <v>62</v>
      </c>
      <c r="L20" s="12" t="s">
        <v>65</v>
      </c>
      <c r="M20" s="13">
        <v>1</v>
      </c>
      <c r="N20" s="13">
        <v>0.56000000000000005</v>
      </c>
      <c r="O20" s="13">
        <v>65.66</v>
      </c>
    </row>
    <row r="21" spans="1:15" x14ac:dyDescent="0.25">
      <c r="A21" s="10" t="s">
        <v>1</v>
      </c>
      <c r="B21" s="10" t="s">
        <v>472</v>
      </c>
      <c r="C21" s="10" t="s">
        <v>1</v>
      </c>
      <c r="D21" s="10" t="s">
        <v>1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s">
        <v>1</v>
      </c>
      <c r="K21" s="10" t="s">
        <v>1</v>
      </c>
      <c r="L21" s="10" t="s">
        <v>1</v>
      </c>
      <c r="M21" s="11">
        <v>1</v>
      </c>
      <c r="N21" s="11">
        <v>0.56000000000000005</v>
      </c>
      <c r="O21" s="11">
        <v>65.66</v>
      </c>
    </row>
    <row r="22" spans="1:15" x14ac:dyDescent="0.25">
      <c r="B22" s="2" t="s">
        <v>1</v>
      </c>
    </row>
    <row r="23" spans="1:15" x14ac:dyDescent="0.25">
      <c r="B23" s="2" t="s">
        <v>500</v>
      </c>
    </row>
    <row r="24" spans="1:15" x14ac:dyDescent="0.25">
      <c r="B24" s="2" t="s">
        <v>1</v>
      </c>
    </row>
    <row r="25" spans="1:15" x14ac:dyDescent="0.25">
      <c r="A25" s="6" t="s">
        <v>4</v>
      </c>
      <c r="B25" s="6" t="s">
        <v>5</v>
      </c>
      <c r="C25" s="6" t="s">
        <v>6</v>
      </c>
      <c r="D25" s="6" t="s">
        <v>7</v>
      </c>
      <c r="E25" s="6" t="s">
        <v>8</v>
      </c>
      <c r="F25" s="6" t="s">
        <v>9</v>
      </c>
      <c r="G25" s="6" t="s">
        <v>10</v>
      </c>
      <c r="H25" s="6" t="s">
        <v>11</v>
      </c>
      <c r="I25" s="6" t="s">
        <v>12</v>
      </c>
      <c r="J25" s="6" t="s">
        <v>13</v>
      </c>
      <c r="K25" s="6" t="s">
        <v>14</v>
      </c>
      <c r="L25" s="6" t="s">
        <v>15</v>
      </c>
      <c r="M25" s="6" t="s">
        <v>16</v>
      </c>
      <c r="N25" s="6" t="s">
        <v>17</v>
      </c>
      <c r="O25" s="6" t="s">
        <v>18</v>
      </c>
    </row>
    <row r="26" spans="1:15" x14ac:dyDescent="0.25">
      <c r="A26" s="12" t="s">
        <v>386</v>
      </c>
      <c r="B26" s="12" t="s">
        <v>434</v>
      </c>
      <c r="C26" s="7">
        <v>45962</v>
      </c>
      <c r="D26" s="12" t="s">
        <v>82</v>
      </c>
      <c r="E26" s="12" t="s">
        <v>22</v>
      </c>
      <c r="F26" s="12" t="s">
        <v>131</v>
      </c>
      <c r="G26" s="12" t="s">
        <v>98</v>
      </c>
      <c r="H26" s="12" t="s">
        <v>112</v>
      </c>
      <c r="I26" s="12" t="s">
        <v>522</v>
      </c>
      <c r="J26" s="12" t="s">
        <v>523</v>
      </c>
      <c r="K26" s="12" t="s">
        <v>390</v>
      </c>
      <c r="L26" s="12" t="s">
        <v>63</v>
      </c>
      <c r="M26" s="13">
        <v>1</v>
      </c>
      <c r="N26" s="13">
        <v>0.28000000000000003</v>
      </c>
      <c r="O26" s="13">
        <v>32.83</v>
      </c>
    </row>
    <row r="27" spans="1:15" x14ac:dyDescent="0.25">
      <c r="A27" s="12" t="s">
        <v>386</v>
      </c>
      <c r="B27" s="12" t="s">
        <v>434</v>
      </c>
      <c r="C27" s="7">
        <v>45972</v>
      </c>
      <c r="D27" s="12" t="s">
        <v>82</v>
      </c>
      <c r="E27" s="12" t="s">
        <v>58</v>
      </c>
      <c r="F27" s="12" t="s">
        <v>131</v>
      </c>
      <c r="G27" s="12" t="s">
        <v>98</v>
      </c>
      <c r="H27" s="12" t="s">
        <v>112</v>
      </c>
      <c r="I27" s="12" t="s">
        <v>524</v>
      </c>
      <c r="J27" s="12" t="s">
        <v>525</v>
      </c>
      <c r="K27" s="12" t="s">
        <v>403</v>
      </c>
      <c r="L27" s="12" t="s">
        <v>404</v>
      </c>
      <c r="M27" s="13">
        <v>1</v>
      </c>
      <c r="N27" s="13">
        <v>0.94</v>
      </c>
      <c r="O27" s="13">
        <v>110.22</v>
      </c>
    </row>
    <row r="28" spans="1:15" x14ac:dyDescent="0.25">
      <c r="A28" s="10" t="s">
        <v>1</v>
      </c>
      <c r="B28" s="10" t="s">
        <v>509</v>
      </c>
      <c r="C28" s="10" t="s">
        <v>1</v>
      </c>
      <c r="D28" s="10" t="s">
        <v>1</v>
      </c>
      <c r="E28" s="10" t="s">
        <v>1</v>
      </c>
      <c r="F28" s="10" t="s">
        <v>1</v>
      </c>
      <c r="G28" s="10" t="s">
        <v>1</v>
      </c>
      <c r="H28" s="10" t="s">
        <v>1</v>
      </c>
      <c r="I28" s="10" t="s">
        <v>1</v>
      </c>
      <c r="J28" s="10" t="s">
        <v>1</v>
      </c>
      <c r="K28" s="10" t="s">
        <v>1</v>
      </c>
      <c r="L28" s="10" t="s">
        <v>1</v>
      </c>
      <c r="M28" s="11">
        <v>2</v>
      </c>
      <c r="N28" s="11">
        <v>1.22</v>
      </c>
      <c r="O28" s="11">
        <v>143.05000000000001</v>
      </c>
    </row>
    <row r="29" spans="1:15" x14ac:dyDescent="0.25">
      <c r="A29" s="5" t="s">
        <v>1</v>
      </c>
      <c r="B29" s="5" t="s">
        <v>134</v>
      </c>
      <c r="C29" s="5" t="s">
        <v>1</v>
      </c>
      <c r="D29" s="5" t="s">
        <v>1</v>
      </c>
      <c r="E29" s="5" t="s">
        <v>1</v>
      </c>
      <c r="F29" s="5" t="s">
        <v>1</v>
      </c>
      <c r="G29" s="5" t="s">
        <v>1</v>
      </c>
      <c r="H29" s="5" t="s">
        <v>1</v>
      </c>
      <c r="I29" s="5" t="s">
        <v>1</v>
      </c>
      <c r="J29" s="5" t="s">
        <v>1</v>
      </c>
      <c r="K29" s="5" t="s">
        <v>1</v>
      </c>
      <c r="L29" s="5" t="s">
        <v>1</v>
      </c>
      <c r="M29" s="8">
        <v>5</v>
      </c>
      <c r="N29" s="9">
        <v>4.0999999999999996</v>
      </c>
      <c r="O29" s="8">
        <v>480.74</v>
      </c>
    </row>
    <row r="30" spans="1:15" x14ac:dyDescent="0.25">
      <c r="A30" s="10" t="s">
        <v>1</v>
      </c>
      <c r="B30" s="10" t="s">
        <v>526</v>
      </c>
      <c r="C30" s="10" t="s">
        <v>1</v>
      </c>
      <c r="D30" s="10" t="s">
        <v>1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1">
        <v>5</v>
      </c>
      <c r="N30" s="11">
        <v>4.0999999999999996</v>
      </c>
      <c r="O30" s="11">
        <v>480.74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88"/>
  <sheetViews>
    <sheetView topLeftCell="A58" workbookViewId="0"/>
  </sheetViews>
  <sheetFormatPr baseColWidth="10" defaultColWidth="9.140625" defaultRowHeight="15" x14ac:dyDescent="0.25"/>
  <cols>
    <col min="1" max="1" width="25.7109375" bestFit="1" customWidth="1"/>
    <col min="2" max="2" width="68.85546875" bestFit="1" customWidth="1"/>
    <col min="3" max="3" width="9.28515625" bestFit="1" customWidth="1"/>
    <col min="4" max="4" width="6" bestFit="1" customWidth="1"/>
    <col min="5" max="5" width="7.5703125" bestFit="1" customWidth="1"/>
    <col min="6" max="6" width="28.710937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527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385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387</v>
      </c>
      <c r="C13" s="4">
        <v>45964</v>
      </c>
      <c r="D13" s="3" t="s">
        <v>21</v>
      </c>
      <c r="E13" s="3" t="s">
        <v>38</v>
      </c>
      <c r="F13" s="3" t="s">
        <v>141</v>
      </c>
      <c r="G13" s="3" t="s">
        <v>98</v>
      </c>
      <c r="H13" s="3" t="s">
        <v>25</v>
      </c>
      <c r="I13" s="3" t="s">
        <v>528</v>
      </c>
      <c r="J13" s="3" t="s">
        <v>529</v>
      </c>
      <c r="K13" s="3" t="s">
        <v>403</v>
      </c>
      <c r="L13" s="3" t="s">
        <v>404</v>
      </c>
      <c r="M13" s="8">
        <v>1</v>
      </c>
      <c r="N13" s="9">
        <v>3.04</v>
      </c>
      <c r="O13" s="8">
        <v>81.58</v>
      </c>
    </row>
    <row r="14" spans="1:15" x14ac:dyDescent="0.25">
      <c r="A14" s="3" t="s">
        <v>386</v>
      </c>
      <c r="B14" s="3" t="s">
        <v>387</v>
      </c>
      <c r="C14" s="4">
        <v>45976</v>
      </c>
      <c r="D14" s="3" t="s">
        <v>21</v>
      </c>
      <c r="E14" s="3" t="s">
        <v>22</v>
      </c>
      <c r="F14" s="3" t="s">
        <v>141</v>
      </c>
      <c r="G14" s="3" t="s">
        <v>98</v>
      </c>
      <c r="H14" s="3" t="s">
        <v>25</v>
      </c>
      <c r="I14" s="3" t="s">
        <v>530</v>
      </c>
      <c r="J14" s="3" t="s">
        <v>531</v>
      </c>
      <c r="K14" s="3" t="s">
        <v>71</v>
      </c>
      <c r="L14" s="3" t="s">
        <v>63</v>
      </c>
      <c r="M14" s="8">
        <v>1</v>
      </c>
      <c r="N14" s="9">
        <v>3.68</v>
      </c>
      <c r="O14" s="8">
        <v>98.75</v>
      </c>
    </row>
    <row r="15" spans="1:15" x14ac:dyDescent="0.25">
      <c r="A15" s="3" t="s">
        <v>386</v>
      </c>
      <c r="B15" s="3" t="s">
        <v>387</v>
      </c>
      <c r="C15" s="4">
        <v>45981</v>
      </c>
      <c r="D15" s="3" t="s">
        <v>21</v>
      </c>
      <c r="E15" s="3" t="s">
        <v>30</v>
      </c>
      <c r="F15" s="3" t="s">
        <v>141</v>
      </c>
      <c r="G15" s="3" t="s">
        <v>98</v>
      </c>
      <c r="H15" s="3" t="s">
        <v>25</v>
      </c>
      <c r="I15" s="3" t="s">
        <v>532</v>
      </c>
      <c r="J15" s="3" t="s">
        <v>533</v>
      </c>
      <c r="K15" s="3" t="s">
        <v>390</v>
      </c>
      <c r="L15" s="3" t="s">
        <v>47</v>
      </c>
      <c r="M15" s="8">
        <v>1</v>
      </c>
      <c r="N15" s="9">
        <v>4.24</v>
      </c>
      <c r="O15" s="8">
        <v>113.78</v>
      </c>
    </row>
    <row r="16" spans="1:15" x14ac:dyDescent="0.25">
      <c r="A16" s="3" t="s">
        <v>386</v>
      </c>
      <c r="B16" s="3" t="s">
        <v>387</v>
      </c>
      <c r="C16" s="4">
        <v>45983</v>
      </c>
      <c r="D16" s="3" t="s">
        <v>21</v>
      </c>
      <c r="E16" s="3" t="s">
        <v>22</v>
      </c>
      <c r="F16" s="3" t="s">
        <v>141</v>
      </c>
      <c r="G16" s="3" t="s">
        <v>98</v>
      </c>
      <c r="H16" s="3" t="s">
        <v>25</v>
      </c>
      <c r="I16" s="3" t="s">
        <v>534</v>
      </c>
      <c r="J16" s="3" t="s">
        <v>535</v>
      </c>
      <c r="K16" s="3" t="s">
        <v>390</v>
      </c>
      <c r="L16" s="3" t="s">
        <v>34</v>
      </c>
      <c r="M16" s="8">
        <v>1</v>
      </c>
      <c r="N16" s="9">
        <v>4</v>
      </c>
      <c r="O16" s="8">
        <v>107.34</v>
      </c>
    </row>
    <row r="17" spans="1:15" x14ac:dyDescent="0.25">
      <c r="A17" s="3" t="s">
        <v>386</v>
      </c>
      <c r="B17" s="3" t="s">
        <v>387</v>
      </c>
      <c r="C17" s="4">
        <v>45987</v>
      </c>
      <c r="D17" s="3" t="s">
        <v>21</v>
      </c>
      <c r="E17" s="3" t="s">
        <v>35</v>
      </c>
      <c r="F17" s="3" t="s">
        <v>141</v>
      </c>
      <c r="G17" s="3" t="s">
        <v>98</v>
      </c>
      <c r="H17" s="3" t="s">
        <v>25</v>
      </c>
      <c r="I17" s="3" t="s">
        <v>536</v>
      </c>
      <c r="J17" s="3" t="s">
        <v>537</v>
      </c>
      <c r="K17" s="3" t="s">
        <v>187</v>
      </c>
      <c r="L17" s="3" t="s">
        <v>109</v>
      </c>
      <c r="M17" s="8">
        <v>1</v>
      </c>
      <c r="N17" s="9">
        <v>3.32</v>
      </c>
      <c r="O17" s="8">
        <v>89.09</v>
      </c>
    </row>
    <row r="18" spans="1:15" x14ac:dyDescent="0.25">
      <c r="A18" s="10" t="s">
        <v>1</v>
      </c>
      <c r="B18" s="10" t="s">
        <v>398</v>
      </c>
      <c r="C18" s="10" t="s">
        <v>1</v>
      </c>
      <c r="D18" s="10" t="s">
        <v>1</v>
      </c>
      <c r="E18" s="10" t="s">
        <v>1</v>
      </c>
      <c r="F18" s="10" t="s">
        <v>1</v>
      </c>
      <c r="G18" s="10" t="s">
        <v>1</v>
      </c>
      <c r="H18" s="10" t="s">
        <v>1</v>
      </c>
      <c r="I18" s="10" t="s">
        <v>1</v>
      </c>
      <c r="J18" s="10" t="s">
        <v>1</v>
      </c>
      <c r="K18" s="10" t="s">
        <v>1</v>
      </c>
      <c r="L18" s="10" t="s">
        <v>1</v>
      </c>
      <c r="M18" s="11">
        <v>5</v>
      </c>
      <c r="N18" s="11">
        <v>18.28</v>
      </c>
      <c r="O18" s="11">
        <v>490.53</v>
      </c>
    </row>
    <row r="19" spans="1:15" x14ac:dyDescent="0.25">
      <c r="B19" s="2" t="s">
        <v>1</v>
      </c>
    </row>
    <row r="20" spans="1:15" x14ac:dyDescent="0.25">
      <c r="B20" s="2" t="s">
        <v>399</v>
      </c>
    </row>
    <row r="21" spans="1:15" x14ac:dyDescent="0.25">
      <c r="B21" s="2" t="s">
        <v>1</v>
      </c>
    </row>
    <row r="22" spans="1:15" x14ac:dyDescent="0.25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12</v>
      </c>
      <c r="J22" s="6" t="s">
        <v>13</v>
      </c>
      <c r="K22" s="6" t="s">
        <v>14</v>
      </c>
      <c r="L22" s="6" t="s">
        <v>15</v>
      </c>
      <c r="M22" s="6" t="s">
        <v>16</v>
      </c>
      <c r="N22" s="6" t="s">
        <v>17</v>
      </c>
      <c r="O22" s="6" t="s">
        <v>18</v>
      </c>
    </row>
    <row r="23" spans="1:15" x14ac:dyDescent="0.25">
      <c r="A23" s="3" t="s">
        <v>386</v>
      </c>
      <c r="B23" s="3" t="s">
        <v>400</v>
      </c>
      <c r="C23" s="4">
        <v>45965</v>
      </c>
      <c r="D23" s="3" t="s">
        <v>21</v>
      </c>
      <c r="E23" s="3" t="s">
        <v>58</v>
      </c>
      <c r="F23" s="3" t="s">
        <v>141</v>
      </c>
      <c r="G23" s="3" t="s">
        <v>98</v>
      </c>
      <c r="H23" s="3" t="s">
        <v>25</v>
      </c>
      <c r="I23" s="3" t="s">
        <v>538</v>
      </c>
      <c r="J23" s="3" t="s">
        <v>539</v>
      </c>
      <c r="K23" s="3" t="s">
        <v>403</v>
      </c>
      <c r="L23" s="3" t="s">
        <v>404</v>
      </c>
      <c r="M23" s="8">
        <v>1</v>
      </c>
      <c r="N23" s="9">
        <v>4.2</v>
      </c>
      <c r="O23" s="8">
        <v>112.7</v>
      </c>
    </row>
    <row r="24" spans="1:15" x14ac:dyDescent="0.25">
      <c r="A24" s="3" t="s">
        <v>386</v>
      </c>
      <c r="B24" s="3" t="s">
        <v>400</v>
      </c>
      <c r="C24" s="4">
        <v>45968</v>
      </c>
      <c r="D24" s="3" t="s">
        <v>21</v>
      </c>
      <c r="E24" s="3" t="s">
        <v>44</v>
      </c>
      <c r="F24" s="3" t="s">
        <v>141</v>
      </c>
      <c r="G24" s="3" t="s">
        <v>98</v>
      </c>
      <c r="H24" s="3" t="s">
        <v>25</v>
      </c>
      <c r="I24" s="3" t="s">
        <v>540</v>
      </c>
      <c r="J24" s="3" t="s">
        <v>541</v>
      </c>
      <c r="K24" s="3" t="s">
        <v>393</v>
      </c>
      <c r="L24" s="3" t="s">
        <v>47</v>
      </c>
      <c r="M24" s="8">
        <v>1</v>
      </c>
      <c r="N24" s="9">
        <v>4.54</v>
      </c>
      <c r="O24" s="8">
        <v>121.83</v>
      </c>
    </row>
    <row r="25" spans="1:15" x14ac:dyDescent="0.25">
      <c r="A25" s="3" t="s">
        <v>386</v>
      </c>
      <c r="B25" s="3" t="s">
        <v>400</v>
      </c>
      <c r="C25" s="4">
        <v>45969</v>
      </c>
      <c r="D25" s="3" t="s">
        <v>21</v>
      </c>
      <c r="E25" s="3" t="s">
        <v>22</v>
      </c>
      <c r="F25" s="3" t="s">
        <v>141</v>
      </c>
      <c r="G25" s="3" t="s">
        <v>98</v>
      </c>
      <c r="H25" s="3" t="s">
        <v>25</v>
      </c>
      <c r="I25" s="3" t="s">
        <v>542</v>
      </c>
      <c r="J25" s="3" t="s">
        <v>543</v>
      </c>
      <c r="K25" s="3" t="s">
        <v>390</v>
      </c>
      <c r="L25" s="3" t="s">
        <v>47</v>
      </c>
      <c r="M25" s="8">
        <v>1</v>
      </c>
      <c r="N25" s="9">
        <v>5.14</v>
      </c>
      <c r="O25" s="8">
        <v>137.93</v>
      </c>
    </row>
    <row r="26" spans="1:15" x14ac:dyDescent="0.25">
      <c r="A26" s="3" t="s">
        <v>386</v>
      </c>
      <c r="B26" s="3" t="s">
        <v>400</v>
      </c>
      <c r="C26" s="4">
        <v>45971</v>
      </c>
      <c r="D26" s="3" t="s">
        <v>21</v>
      </c>
      <c r="E26" s="3" t="s">
        <v>38</v>
      </c>
      <c r="F26" s="3" t="s">
        <v>141</v>
      </c>
      <c r="G26" s="3" t="s">
        <v>98</v>
      </c>
      <c r="H26" s="3" t="s">
        <v>25</v>
      </c>
      <c r="I26" s="3" t="s">
        <v>544</v>
      </c>
      <c r="J26" s="3" t="s">
        <v>545</v>
      </c>
      <c r="K26" s="3" t="s">
        <v>393</v>
      </c>
      <c r="L26" s="3" t="s">
        <v>34</v>
      </c>
      <c r="M26" s="8">
        <v>1</v>
      </c>
      <c r="N26" s="9">
        <v>4.92</v>
      </c>
      <c r="O26" s="8">
        <v>132.03</v>
      </c>
    </row>
    <row r="27" spans="1:15" x14ac:dyDescent="0.25">
      <c r="A27" s="3" t="s">
        <v>386</v>
      </c>
      <c r="B27" s="3" t="s">
        <v>400</v>
      </c>
      <c r="C27" s="4">
        <v>45973</v>
      </c>
      <c r="D27" s="3" t="s">
        <v>21</v>
      </c>
      <c r="E27" s="3" t="s">
        <v>35</v>
      </c>
      <c r="F27" s="3" t="s">
        <v>141</v>
      </c>
      <c r="G27" s="3" t="s">
        <v>98</v>
      </c>
      <c r="H27" s="3" t="s">
        <v>25</v>
      </c>
      <c r="I27" s="3" t="s">
        <v>546</v>
      </c>
      <c r="J27" s="3" t="s">
        <v>547</v>
      </c>
      <c r="K27" s="3" t="s">
        <v>33</v>
      </c>
      <c r="L27" s="3" t="s">
        <v>47</v>
      </c>
      <c r="M27" s="8">
        <v>1</v>
      </c>
      <c r="N27" s="9">
        <v>4.92</v>
      </c>
      <c r="O27" s="8">
        <v>132.03</v>
      </c>
    </row>
    <row r="28" spans="1:15" x14ac:dyDescent="0.25">
      <c r="A28" s="3" t="s">
        <v>386</v>
      </c>
      <c r="B28" s="3" t="s">
        <v>400</v>
      </c>
      <c r="C28" s="4">
        <v>45975</v>
      </c>
      <c r="D28" s="3" t="s">
        <v>21</v>
      </c>
      <c r="E28" s="3" t="s">
        <v>44</v>
      </c>
      <c r="F28" s="3" t="s">
        <v>141</v>
      </c>
      <c r="G28" s="3" t="s">
        <v>98</v>
      </c>
      <c r="H28" s="3" t="s">
        <v>25</v>
      </c>
      <c r="I28" s="3" t="s">
        <v>548</v>
      </c>
      <c r="J28" s="3" t="s">
        <v>549</v>
      </c>
      <c r="K28" s="3" t="s">
        <v>390</v>
      </c>
      <c r="L28" s="3" t="s">
        <v>63</v>
      </c>
      <c r="M28" s="8">
        <v>1</v>
      </c>
      <c r="N28" s="9">
        <v>3.48</v>
      </c>
      <c r="O28" s="8">
        <v>93.38</v>
      </c>
    </row>
    <row r="29" spans="1:15" x14ac:dyDescent="0.25">
      <c r="A29" s="3" t="s">
        <v>386</v>
      </c>
      <c r="B29" s="3" t="s">
        <v>400</v>
      </c>
      <c r="C29" s="4">
        <v>45976</v>
      </c>
      <c r="D29" s="3" t="s">
        <v>21</v>
      </c>
      <c r="E29" s="3" t="s">
        <v>22</v>
      </c>
      <c r="F29" s="3" t="s">
        <v>141</v>
      </c>
      <c r="G29" s="3" t="s">
        <v>98</v>
      </c>
      <c r="H29" s="3" t="s">
        <v>25</v>
      </c>
      <c r="I29" s="3" t="s">
        <v>550</v>
      </c>
      <c r="J29" s="3" t="s">
        <v>551</v>
      </c>
      <c r="K29" s="3" t="s">
        <v>390</v>
      </c>
      <c r="L29" s="3" t="s">
        <v>47</v>
      </c>
      <c r="M29" s="8">
        <v>1</v>
      </c>
      <c r="N29" s="9">
        <v>3.64</v>
      </c>
      <c r="O29" s="8">
        <v>97.68</v>
      </c>
    </row>
    <row r="30" spans="1:15" x14ac:dyDescent="0.25">
      <c r="A30" s="3" t="s">
        <v>386</v>
      </c>
      <c r="B30" s="3" t="s">
        <v>400</v>
      </c>
      <c r="C30" s="4">
        <v>45978</v>
      </c>
      <c r="D30" s="3" t="s">
        <v>21</v>
      </c>
      <c r="E30" s="3" t="s">
        <v>38</v>
      </c>
      <c r="F30" s="3" t="s">
        <v>141</v>
      </c>
      <c r="G30" s="3" t="s">
        <v>98</v>
      </c>
      <c r="H30" s="3" t="s">
        <v>25</v>
      </c>
      <c r="I30" s="3" t="s">
        <v>552</v>
      </c>
      <c r="J30" s="3" t="s">
        <v>553</v>
      </c>
      <c r="K30" s="3" t="s">
        <v>393</v>
      </c>
      <c r="L30" s="3" t="s">
        <v>68</v>
      </c>
      <c r="M30" s="8">
        <v>1</v>
      </c>
      <c r="N30" s="9">
        <v>3.9</v>
      </c>
      <c r="O30" s="8">
        <v>104.65</v>
      </c>
    </row>
    <row r="31" spans="1:15" x14ac:dyDescent="0.25">
      <c r="A31" s="3" t="s">
        <v>386</v>
      </c>
      <c r="B31" s="3" t="s">
        <v>400</v>
      </c>
      <c r="C31" s="4">
        <v>45981</v>
      </c>
      <c r="D31" s="3" t="s">
        <v>21</v>
      </c>
      <c r="E31" s="3" t="s">
        <v>30</v>
      </c>
      <c r="F31" s="3" t="s">
        <v>141</v>
      </c>
      <c r="G31" s="3" t="s">
        <v>98</v>
      </c>
      <c r="H31" s="3" t="s">
        <v>25</v>
      </c>
      <c r="I31" s="3" t="s">
        <v>554</v>
      </c>
      <c r="J31" s="3" t="s">
        <v>555</v>
      </c>
      <c r="K31" s="3" t="s">
        <v>393</v>
      </c>
      <c r="L31" s="3" t="s">
        <v>68</v>
      </c>
      <c r="M31" s="8">
        <v>1</v>
      </c>
      <c r="N31" s="9">
        <v>4</v>
      </c>
      <c r="O31" s="8">
        <v>107.34</v>
      </c>
    </row>
    <row r="32" spans="1:15" x14ac:dyDescent="0.25">
      <c r="A32" s="3" t="s">
        <v>386</v>
      </c>
      <c r="B32" s="3" t="s">
        <v>400</v>
      </c>
      <c r="C32" s="4">
        <v>45982</v>
      </c>
      <c r="D32" s="3" t="s">
        <v>21</v>
      </c>
      <c r="E32" s="3" t="s">
        <v>44</v>
      </c>
      <c r="F32" s="3" t="s">
        <v>141</v>
      </c>
      <c r="G32" s="3" t="s">
        <v>98</v>
      </c>
      <c r="H32" s="3" t="s">
        <v>25</v>
      </c>
      <c r="I32" s="3" t="s">
        <v>556</v>
      </c>
      <c r="J32" s="3" t="s">
        <v>557</v>
      </c>
      <c r="K32" s="3" t="s">
        <v>393</v>
      </c>
      <c r="L32" s="3" t="s">
        <v>68</v>
      </c>
      <c r="M32" s="8">
        <v>1</v>
      </c>
      <c r="N32" s="9">
        <v>3.28</v>
      </c>
      <c r="O32" s="8">
        <v>88.02</v>
      </c>
    </row>
    <row r="33" spans="1:15" x14ac:dyDescent="0.25">
      <c r="A33" s="3" t="s">
        <v>386</v>
      </c>
      <c r="B33" s="3" t="s">
        <v>400</v>
      </c>
      <c r="C33" s="4">
        <v>45986</v>
      </c>
      <c r="D33" s="3" t="s">
        <v>21</v>
      </c>
      <c r="E33" s="3" t="s">
        <v>58</v>
      </c>
      <c r="F33" s="3" t="s">
        <v>141</v>
      </c>
      <c r="G33" s="3" t="s">
        <v>98</v>
      </c>
      <c r="H33" s="3" t="s">
        <v>25</v>
      </c>
      <c r="I33" s="3" t="s">
        <v>558</v>
      </c>
      <c r="J33" s="3" t="s">
        <v>559</v>
      </c>
      <c r="K33" s="3" t="s">
        <v>71</v>
      </c>
      <c r="L33" s="3" t="s">
        <v>63</v>
      </c>
      <c r="M33" s="8">
        <v>1</v>
      </c>
      <c r="N33" s="9">
        <v>2.62</v>
      </c>
      <c r="O33" s="8">
        <v>70.31</v>
      </c>
    </row>
    <row r="34" spans="1:15" x14ac:dyDescent="0.25">
      <c r="A34" s="3" t="s">
        <v>386</v>
      </c>
      <c r="B34" s="3" t="s">
        <v>400</v>
      </c>
      <c r="C34" s="4">
        <v>45987</v>
      </c>
      <c r="D34" s="3" t="s">
        <v>21</v>
      </c>
      <c r="E34" s="3" t="s">
        <v>35</v>
      </c>
      <c r="F34" s="3" t="s">
        <v>141</v>
      </c>
      <c r="G34" s="3" t="s">
        <v>98</v>
      </c>
      <c r="H34" s="3" t="s">
        <v>25</v>
      </c>
      <c r="I34" s="3" t="s">
        <v>560</v>
      </c>
      <c r="J34" s="3" t="s">
        <v>561</v>
      </c>
      <c r="K34" s="3" t="s">
        <v>403</v>
      </c>
      <c r="L34" s="3" t="s">
        <v>404</v>
      </c>
      <c r="M34" s="8">
        <v>1</v>
      </c>
      <c r="N34" s="9">
        <v>3.9</v>
      </c>
      <c r="O34" s="8">
        <v>104.65</v>
      </c>
    </row>
    <row r="35" spans="1:15" x14ac:dyDescent="0.25">
      <c r="A35" s="3" t="s">
        <v>386</v>
      </c>
      <c r="B35" s="3" t="s">
        <v>400</v>
      </c>
      <c r="C35" s="4">
        <v>45990</v>
      </c>
      <c r="D35" s="3" t="s">
        <v>21</v>
      </c>
      <c r="E35" s="3" t="s">
        <v>22</v>
      </c>
      <c r="F35" s="3" t="s">
        <v>141</v>
      </c>
      <c r="G35" s="3" t="s">
        <v>98</v>
      </c>
      <c r="H35" s="3" t="s">
        <v>25</v>
      </c>
      <c r="I35" s="3" t="s">
        <v>562</v>
      </c>
      <c r="J35" s="3" t="s">
        <v>563</v>
      </c>
      <c r="K35" s="3" t="s">
        <v>71</v>
      </c>
      <c r="L35" s="3" t="s">
        <v>63</v>
      </c>
      <c r="M35" s="8">
        <v>1</v>
      </c>
      <c r="N35" s="9">
        <v>5.28</v>
      </c>
      <c r="O35" s="8">
        <v>141.69</v>
      </c>
    </row>
    <row r="36" spans="1:15" x14ac:dyDescent="0.25">
      <c r="A36" s="10" t="s">
        <v>1</v>
      </c>
      <c r="B36" s="10" t="s">
        <v>415</v>
      </c>
      <c r="C36" s="10" t="s">
        <v>1</v>
      </c>
      <c r="D36" s="10" t="s">
        <v>1</v>
      </c>
      <c r="E36" s="10" t="s">
        <v>1</v>
      </c>
      <c r="F36" s="10" t="s">
        <v>1</v>
      </c>
      <c r="G36" s="10" t="s">
        <v>1</v>
      </c>
      <c r="H36" s="10" t="s">
        <v>1</v>
      </c>
      <c r="I36" s="10" t="s">
        <v>1</v>
      </c>
      <c r="J36" s="10" t="s">
        <v>1</v>
      </c>
      <c r="K36" s="10" t="s">
        <v>1</v>
      </c>
      <c r="L36" s="10" t="s">
        <v>1</v>
      </c>
      <c r="M36" s="11">
        <v>13</v>
      </c>
      <c r="N36" s="11">
        <v>53.82</v>
      </c>
      <c r="O36" s="11">
        <v>1444.23</v>
      </c>
    </row>
    <row r="37" spans="1:15" x14ac:dyDescent="0.25">
      <c r="B37" s="2" t="s">
        <v>1</v>
      </c>
    </row>
    <row r="38" spans="1:15" x14ac:dyDescent="0.25">
      <c r="B38" s="2" t="s">
        <v>416</v>
      </c>
    </row>
    <row r="39" spans="1:15" x14ac:dyDescent="0.25">
      <c r="B39" s="2" t="s">
        <v>1</v>
      </c>
    </row>
    <row r="40" spans="1:15" x14ac:dyDescent="0.25">
      <c r="A40" s="6" t="s">
        <v>4</v>
      </c>
      <c r="B40" s="6" t="s">
        <v>5</v>
      </c>
      <c r="C40" s="6" t="s">
        <v>6</v>
      </c>
      <c r="D40" s="6" t="s">
        <v>7</v>
      </c>
      <c r="E40" s="6" t="s">
        <v>8</v>
      </c>
      <c r="F40" s="6" t="s">
        <v>9</v>
      </c>
      <c r="G40" s="6" t="s">
        <v>10</v>
      </c>
      <c r="H40" s="6" t="s">
        <v>11</v>
      </c>
      <c r="I40" s="6" t="s">
        <v>12</v>
      </c>
      <c r="J40" s="6" t="s">
        <v>13</v>
      </c>
      <c r="K40" s="6" t="s">
        <v>14</v>
      </c>
      <c r="L40" s="6" t="s">
        <v>15</v>
      </c>
      <c r="M40" s="6" t="s">
        <v>16</v>
      </c>
      <c r="N40" s="6" t="s">
        <v>17</v>
      </c>
      <c r="O40" s="6" t="s">
        <v>18</v>
      </c>
    </row>
    <row r="41" spans="1:15" x14ac:dyDescent="0.25">
      <c r="A41" s="3" t="s">
        <v>386</v>
      </c>
      <c r="B41" s="3" t="s">
        <v>417</v>
      </c>
      <c r="C41" s="4">
        <v>45966</v>
      </c>
      <c r="D41" s="3" t="s">
        <v>21</v>
      </c>
      <c r="E41" s="3" t="s">
        <v>35</v>
      </c>
      <c r="F41" s="3" t="s">
        <v>141</v>
      </c>
      <c r="G41" s="3" t="s">
        <v>98</v>
      </c>
      <c r="H41" s="3" t="s">
        <v>25</v>
      </c>
      <c r="I41" s="3" t="s">
        <v>564</v>
      </c>
      <c r="J41" s="3" t="s">
        <v>565</v>
      </c>
      <c r="K41" s="3" t="s">
        <v>115</v>
      </c>
      <c r="L41" s="3" t="s">
        <v>34</v>
      </c>
      <c r="M41" s="8">
        <v>1</v>
      </c>
      <c r="N41" s="9">
        <v>5.66</v>
      </c>
      <c r="O41" s="8">
        <v>151.88</v>
      </c>
    </row>
    <row r="42" spans="1:15" x14ac:dyDescent="0.25">
      <c r="A42" s="3" t="s">
        <v>386</v>
      </c>
      <c r="B42" s="3" t="s">
        <v>417</v>
      </c>
      <c r="C42" s="4">
        <v>45969</v>
      </c>
      <c r="D42" s="3" t="s">
        <v>21</v>
      </c>
      <c r="E42" s="3" t="s">
        <v>22</v>
      </c>
      <c r="F42" s="3" t="s">
        <v>141</v>
      </c>
      <c r="G42" s="3" t="s">
        <v>98</v>
      </c>
      <c r="H42" s="3" t="s">
        <v>25</v>
      </c>
      <c r="I42" s="3" t="s">
        <v>566</v>
      </c>
      <c r="J42" s="3" t="s">
        <v>567</v>
      </c>
      <c r="K42" s="3" t="s">
        <v>201</v>
      </c>
      <c r="L42" s="3" t="s">
        <v>202</v>
      </c>
      <c r="M42" s="8">
        <v>1</v>
      </c>
      <c r="N42" s="9">
        <v>2.7</v>
      </c>
      <c r="O42" s="8">
        <v>72.45</v>
      </c>
    </row>
    <row r="43" spans="1:15" x14ac:dyDescent="0.25">
      <c r="A43" s="3" t="s">
        <v>386</v>
      </c>
      <c r="B43" s="3" t="s">
        <v>417</v>
      </c>
      <c r="C43" s="4">
        <v>45975</v>
      </c>
      <c r="D43" s="3" t="s">
        <v>21</v>
      </c>
      <c r="E43" s="3" t="s">
        <v>44</v>
      </c>
      <c r="F43" s="3" t="s">
        <v>141</v>
      </c>
      <c r="G43" s="3" t="s">
        <v>98</v>
      </c>
      <c r="H43" s="3" t="s">
        <v>25</v>
      </c>
      <c r="I43" s="3" t="s">
        <v>568</v>
      </c>
      <c r="J43" s="3" t="s">
        <v>569</v>
      </c>
      <c r="K43" s="3" t="s">
        <v>390</v>
      </c>
      <c r="L43" s="3" t="s">
        <v>63</v>
      </c>
      <c r="M43" s="8">
        <v>1</v>
      </c>
      <c r="N43" s="9">
        <v>4.12</v>
      </c>
      <c r="O43" s="8">
        <v>110.56</v>
      </c>
    </row>
    <row r="44" spans="1:15" x14ac:dyDescent="0.25">
      <c r="A44" s="3" t="s">
        <v>386</v>
      </c>
      <c r="B44" s="3" t="s">
        <v>417</v>
      </c>
      <c r="C44" s="4">
        <v>45981</v>
      </c>
      <c r="D44" s="3" t="s">
        <v>21</v>
      </c>
      <c r="E44" s="3" t="s">
        <v>30</v>
      </c>
      <c r="F44" s="3" t="s">
        <v>141</v>
      </c>
      <c r="G44" s="3" t="s">
        <v>98</v>
      </c>
      <c r="H44" s="3" t="s">
        <v>25</v>
      </c>
      <c r="I44" s="3" t="s">
        <v>570</v>
      </c>
      <c r="J44" s="3" t="s">
        <v>571</v>
      </c>
      <c r="K44" s="3" t="s">
        <v>33</v>
      </c>
      <c r="L44" s="3" t="s">
        <v>109</v>
      </c>
      <c r="M44" s="8">
        <v>1</v>
      </c>
      <c r="N44" s="9">
        <v>4.7</v>
      </c>
      <c r="O44" s="8">
        <v>126.12</v>
      </c>
    </row>
    <row r="45" spans="1:15" x14ac:dyDescent="0.25">
      <c r="A45" s="3" t="s">
        <v>386</v>
      </c>
      <c r="B45" s="3" t="s">
        <v>417</v>
      </c>
      <c r="C45" s="4">
        <v>45986</v>
      </c>
      <c r="D45" s="3" t="s">
        <v>21</v>
      </c>
      <c r="E45" s="3" t="s">
        <v>58</v>
      </c>
      <c r="F45" s="3" t="s">
        <v>141</v>
      </c>
      <c r="G45" s="3" t="s">
        <v>98</v>
      </c>
      <c r="H45" s="3" t="s">
        <v>25</v>
      </c>
      <c r="I45" s="3" t="s">
        <v>572</v>
      </c>
      <c r="J45" s="3" t="s">
        <v>573</v>
      </c>
      <c r="K45" s="3" t="s">
        <v>187</v>
      </c>
      <c r="L45" s="3" t="s">
        <v>92</v>
      </c>
      <c r="M45" s="8">
        <v>1</v>
      </c>
      <c r="N45" s="9">
        <v>2.14</v>
      </c>
      <c r="O45" s="8">
        <v>57.43</v>
      </c>
    </row>
    <row r="46" spans="1:15" x14ac:dyDescent="0.25">
      <c r="A46" s="3" t="s">
        <v>386</v>
      </c>
      <c r="B46" s="3" t="s">
        <v>417</v>
      </c>
      <c r="C46" s="4">
        <v>45988</v>
      </c>
      <c r="D46" s="3" t="s">
        <v>21</v>
      </c>
      <c r="E46" s="3" t="s">
        <v>30</v>
      </c>
      <c r="F46" s="3" t="s">
        <v>141</v>
      </c>
      <c r="G46" s="3" t="s">
        <v>98</v>
      </c>
      <c r="H46" s="3" t="s">
        <v>25</v>
      </c>
      <c r="I46" s="3" t="s">
        <v>574</v>
      </c>
      <c r="J46" s="3" t="s">
        <v>575</v>
      </c>
      <c r="K46" s="3" t="s">
        <v>403</v>
      </c>
      <c r="L46" s="3" t="s">
        <v>404</v>
      </c>
      <c r="M46" s="8">
        <v>1</v>
      </c>
      <c r="N46" s="9">
        <v>1.9</v>
      </c>
      <c r="O46" s="8">
        <v>50.99</v>
      </c>
    </row>
    <row r="47" spans="1:15" x14ac:dyDescent="0.25">
      <c r="A47" s="10" t="s">
        <v>1</v>
      </c>
      <c r="B47" s="10" t="s">
        <v>423</v>
      </c>
      <c r="C47" s="10" t="s">
        <v>1</v>
      </c>
      <c r="D47" s="10" t="s">
        <v>1</v>
      </c>
      <c r="E47" s="10" t="s">
        <v>1</v>
      </c>
      <c r="F47" s="10" t="s">
        <v>1</v>
      </c>
      <c r="G47" s="10" t="s">
        <v>1</v>
      </c>
      <c r="H47" s="10" t="s">
        <v>1</v>
      </c>
      <c r="I47" s="10" t="s">
        <v>1</v>
      </c>
      <c r="J47" s="10" t="s">
        <v>1</v>
      </c>
      <c r="K47" s="10" t="s">
        <v>1</v>
      </c>
      <c r="L47" s="10" t="s">
        <v>1</v>
      </c>
      <c r="M47" s="11">
        <v>6</v>
      </c>
      <c r="N47" s="11">
        <v>21.22</v>
      </c>
      <c r="O47" s="11">
        <v>569.42999999999995</v>
      </c>
    </row>
    <row r="48" spans="1:15" x14ac:dyDescent="0.25">
      <c r="B48" s="2" t="s">
        <v>1</v>
      </c>
    </row>
    <row r="49" spans="1:15" x14ac:dyDescent="0.25">
      <c r="B49" s="2" t="s">
        <v>424</v>
      </c>
    </row>
    <row r="50" spans="1:15" x14ac:dyDescent="0.25">
      <c r="B50" s="2" t="s">
        <v>1</v>
      </c>
    </row>
    <row r="51" spans="1:15" x14ac:dyDescent="0.25">
      <c r="A51" s="6" t="s">
        <v>4</v>
      </c>
      <c r="B51" s="6" t="s">
        <v>5</v>
      </c>
      <c r="C51" s="6" t="s">
        <v>6</v>
      </c>
      <c r="D51" s="6" t="s">
        <v>7</v>
      </c>
      <c r="E51" s="6" t="s">
        <v>8</v>
      </c>
      <c r="F51" s="6" t="s">
        <v>9</v>
      </c>
      <c r="G51" s="6" t="s">
        <v>10</v>
      </c>
      <c r="H51" s="6" t="s">
        <v>11</v>
      </c>
      <c r="I51" s="6" t="s">
        <v>12</v>
      </c>
      <c r="J51" s="6" t="s">
        <v>13</v>
      </c>
      <c r="K51" s="6" t="s">
        <v>14</v>
      </c>
      <c r="L51" s="6" t="s">
        <v>15</v>
      </c>
      <c r="M51" s="6" t="s">
        <v>16</v>
      </c>
      <c r="N51" s="6" t="s">
        <v>17</v>
      </c>
      <c r="O51" s="6" t="s">
        <v>18</v>
      </c>
    </row>
    <row r="52" spans="1:15" x14ac:dyDescent="0.25">
      <c r="A52" s="3" t="s">
        <v>386</v>
      </c>
      <c r="B52" s="3" t="s">
        <v>425</v>
      </c>
      <c r="C52" s="4">
        <v>45971</v>
      </c>
      <c r="D52" s="3" t="s">
        <v>21</v>
      </c>
      <c r="E52" s="3" t="s">
        <v>38</v>
      </c>
      <c r="F52" s="3" t="s">
        <v>141</v>
      </c>
      <c r="G52" s="3" t="s">
        <v>98</v>
      </c>
      <c r="H52" s="3" t="s">
        <v>25</v>
      </c>
      <c r="I52" s="3" t="s">
        <v>576</v>
      </c>
      <c r="J52" s="3" t="s">
        <v>577</v>
      </c>
      <c r="K52" s="3" t="s">
        <v>403</v>
      </c>
      <c r="L52" s="3" t="s">
        <v>404</v>
      </c>
      <c r="M52" s="8">
        <v>1</v>
      </c>
      <c r="N52" s="9">
        <v>3.14</v>
      </c>
      <c r="O52" s="8">
        <v>84.26</v>
      </c>
    </row>
    <row r="53" spans="1:15" x14ac:dyDescent="0.25">
      <c r="A53" s="3" t="s">
        <v>386</v>
      </c>
      <c r="B53" s="3" t="s">
        <v>425</v>
      </c>
      <c r="C53" s="4">
        <v>45973</v>
      </c>
      <c r="D53" s="3" t="s">
        <v>21</v>
      </c>
      <c r="E53" s="3" t="s">
        <v>35</v>
      </c>
      <c r="F53" s="3" t="s">
        <v>141</v>
      </c>
      <c r="G53" s="3" t="s">
        <v>98</v>
      </c>
      <c r="H53" s="3" t="s">
        <v>25</v>
      </c>
      <c r="I53" s="3" t="s">
        <v>578</v>
      </c>
      <c r="J53" s="3" t="s">
        <v>579</v>
      </c>
      <c r="K53" s="3" t="s">
        <v>403</v>
      </c>
      <c r="L53" s="3" t="s">
        <v>404</v>
      </c>
      <c r="M53" s="8">
        <v>1</v>
      </c>
      <c r="N53" s="9">
        <v>3.2</v>
      </c>
      <c r="O53" s="8">
        <v>85.87</v>
      </c>
    </row>
    <row r="54" spans="1:15" x14ac:dyDescent="0.25">
      <c r="A54" s="3" t="s">
        <v>386</v>
      </c>
      <c r="B54" s="3" t="s">
        <v>425</v>
      </c>
      <c r="C54" s="4">
        <v>45975</v>
      </c>
      <c r="D54" s="3" t="s">
        <v>21</v>
      </c>
      <c r="E54" s="3" t="s">
        <v>44</v>
      </c>
      <c r="F54" s="3" t="s">
        <v>141</v>
      </c>
      <c r="G54" s="3" t="s">
        <v>98</v>
      </c>
      <c r="H54" s="3" t="s">
        <v>25</v>
      </c>
      <c r="I54" s="3" t="s">
        <v>580</v>
      </c>
      <c r="J54" s="3" t="s">
        <v>581</v>
      </c>
      <c r="K54" s="3" t="s">
        <v>403</v>
      </c>
      <c r="L54" s="3" t="s">
        <v>404</v>
      </c>
      <c r="M54" s="8">
        <v>1</v>
      </c>
      <c r="N54" s="9">
        <v>2.92</v>
      </c>
      <c r="O54" s="8">
        <v>78.36</v>
      </c>
    </row>
    <row r="55" spans="1:15" x14ac:dyDescent="0.25">
      <c r="A55" s="3" t="s">
        <v>386</v>
      </c>
      <c r="B55" s="3" t="s">
        <v>425</v>
      </c>
      <c r="C55" s="4">
        <v>45978</v>
      </c>
      <c r="D55" s="3" t="s">
        <v>21</v>
      </c>
      <c r="E55" s="3" t="s">
        <v>38</v>
      </c>
      <c r="F55" s="3" t="s">
        <v>141</v>
      </c>
      <c r="G55" s="3" t="s">
        <v>98</v>
      </c>
      <c r="H55" s="3" t="s">
        <v>25</v>
      </c>
      <c r="I55" s="3" t="s">
        <v>582</v>
      </c>
      <c r="J55" s="3" t="s">
        <v>583</v>
      </c>
      <c r="K55" s="3" t="s">
        <v>403</v>
      </c>
      <c r="L55" s="3" t="s">
        <v>404</v>
      </c>
      <c r="M55" s="8">
        <v>1</v>
      </c>
      <c r="N55" s="9">
        <v>4.5199999999999996</v>
      </c>
      <c r="O55" s="8">
        <v>121.29</v>
      </c>
    </row>
    <row r="56" spans="1:15" x14ac:dyDescent="0.25">
      <c r="A56" s="3" t="s">
        <v>386</v>
      </c>
      <c r="B56" s="3" t="s">
        <v>425</v>
      </c>
      <c r="C56" s="4">
        <v>45979</v>
      </c>
      <c r="D56" s="3" t="s">
        <v>21</v>
      </c>
      <c r="E56" s="3" t="s">
        <v>58</v>
      </c>
      <c r="F56" s="3" t="s">
        <v>141</v>
      </c>
      <c r="G56" s="3" t="s">
        <v>98</v>
      </c>
      <c r="H56" s="3" t="s">
        <v>25</v>
      </c>
      <c r="I56" s="3" t="s">
        <v>584</v>
      </c>
      <c r="J56" s="3" t="s">
        <v>585</v>
      </c>
      <c r="K56" s="3" t="s">
        <v>403</v>
      </c>
      <c r="L56" s="3" t="s">
        <v>404</v>
      </c>
      <c r="M56" s="8">
        <v>1</v>
      </c>
      <c r="N56" s="9">
        <v>4.62</v>
      </c>
      <c r="O56" s="8">
        <v>123.97</v>
      </c>
    </row>
    <row r="57" spans="1:15" x14ac:dyDescent="0.25">
      <c r="A57" s="3" t="s">
        <v>386</v>
      </c>
      <c r="B57" s="3" t="s">
        <v>425</v>
      </c>
      <c r="C57" s="4">
        <v>45982</v>
      </c>
      <c r="D57" s="3" t="s">
        <v>21</v>
      </c>
      <c r="E57" s="3" t="s">
        <v>44</v>
      </c>
      <c r="F57" s="3" t="s">
        <v>141</v>
      </c>
      <c r="G57" s="3" t="s">
        <v>98</v>
      </c>
      <c r="H57" s="3" t="s">
        <v>25</v>
      </c>
      <c r="I57" s="3" t="s">
        <v>586</v>
      </c>
      <c r="J57" s="3" t="s">
        <v>587</v>
      </c>
      <c r="K57" s="3" t="s">
        <v>403</v>
      </c>
      <c r="L57" s="3" t="s">
        <v>404</v>
      </c>
      <c r="M57" s="8">
        <v>1</v>
      </c>
      <c r="N57" s="9">
        <v>3.26</v>
      </c>
      <c r="O57" s="8">
        <v>87.48</v>
      </c>
    </row>
    <row r="58" spans="1:15" x14ac:dyDescent="0.25">
      <c r="A58" s="3" t="s">
        <v>386</v>
      </c>
      <c r="B58" s="3" t="s">
        <v>425</v>
      </c>
      <c r="C58" s="4">
        <v>45985</v>
      </c>
      <c r="D58" s="3" t="s">
        <v>21</v>
      </c>
      <c r="E58" s="3" t="s">
        <v>38</v>
      </c>
      <c r="F58" s="3" t="s">
        <v>141</v>
      </c>
      <c r="G58" s="3" t="s">
        <v>98</v>
      </c>
      <c r="H58" s="3" t="s">
        <v>25</v>
      </c>
      <c r="I58" s="3" t="s">
        <v>588</v>
      </c>
      <c r="J58" s="3" t="s">
        <v>589</v>
      </c>
      <c r="K58" s="3" t="s">
        <v>403</v>
      </c>
      <c r="L58" s="3" t="s">
        <v>404</v>
      </c>
      <c r="M58" s="8">
        <v>1</v>
      </c>
      <c r="N58" s="9">
        <v>3.3</v>
      </c>
      <c r="O58" s="8">
        <v>88.55</v>
      </c>
    </row>
    <row r="59" spans="1:15" x14ac:dyDescent="0.25">
      <c r="A59" s="3" t="s">
        <v>386</v>
      </c>
      <c r="B59" s="3" t="s">
        <v>425</v>
      </c>
      <c r="C59" s="4">
        <v>45986</v>
      </c>
      <c r="D59" s="3" t="s">
        <v>21</v>
      </c>
      <c r="E59" s="3" t="s">
        <v>58</v>
      </c>
      <c r="F59" s="3" t="s">
        <v>141</v>
      </c>
      <c r="G59" s="3" t="s">
        <v>98</v>
      </c>
      <c r="H59" s="3" t="s">
        <v>25</v>
      </c>
      <c r="I59" s="3" t="s">
        <v>590</v>
      </c>
      <c r="J59" s="3" t="s">
        <v>591</v>
      </c>
      <c r="K59" s="3" t="s">
        <v>403</v>
      </c>
      <c r="L59" s="3" t="s">
        <v>404</v>
      </c>
      <c r="M59" s="8">
        <v>1</v>
      </c>
      <c r="N59" s="9">
        <v>3.46</v>
      </c>
      <c r="O59" s="8">
        <v>92.85</v>
      </c>
    </row>
    <row r="60" spans="1:15" x14ac:dyDescent="0.25">
      <c r="A60" s="3" t="s">
        <v>386</v>
      </c>
      <c r="B60" s="3" t="s">
        <v>425</v>
      </c>
      <c r="C60" s="4">
        <v>45989</v>
      </c>
      <c r="D60" s="3" t="s">
        <v>21</v>
      </c>
      <c r="E60" s="3" t="s">
        <v>44</v>
      </c>
      <c r="F60" s="3" t="s">
        <v>141</v>
      </c>
      <c r="G60" s="3" t="s">
        <v>98</v>
      </c>
      <c r="H60" s="3" t="s">
        <v>25</v>
      </c>
      <c r="I60" s="3" t="s">
        <v>592</v>
      </c>
      <c r="J60" s="3" t="s">
        <v>593</v>
      </c>
      <c r="K60" s="3" t="s">
        <v>403</v>
      </c>
      <c r="L60" s="3" t="s">
        <v>404</v>
      </c>
      <c r="M60" s="8">
        <v>1</v>
      </c>
      <c r="N60" s="9">
        <v>3</v>
      </c>
      <c r="O60" s="8">
        <v>80.5</v>
      </c>
    </row>
    <row r="61" spans="1:15" x14ac:dyDescent="0.25">
      <c r="A61" s="10" t="s">
        <v>1</v>
      </c>
      <c r="B61" s="10" t="s">
        <v>432</v>
      </c>
      <c r="C61" s="10" t="s">
        <v>1</v>
      </c>
      <c r="D61" s="10" t="s">
        <v>1</v>
      </c>
      <c r="E61" s="10" t="s">
        <v>1</v>
      </c>
      <c r="F61" s="10" t="s">
        <v>1</v>
      </c>
      <c r="G61" s="10" t="s">
        <v>1</v>
      </c>
      <c r="H61" s="10" t="s">
        <v>1</v>
      </c>
      <c r="I61" s="10" t="s">
        <v>1</v>
      </c>
      <c r="J61" s="10" t="s">
        <v>1</v>
      </c>
      <c r="K61" s="10" t="s">
        <v>1</v>
      </c>
      <c r="L61" s="10" t="s">
        <v>1</v>
      </c>
      <c r="M61" s="11">
        <v>9</v>
      </c>
      <c r="N61" s="11">
        <v>31.42</v>
      </c>
      <c r="O61" s="11">
        <v>843.14</v>
      </c>
    </row>
    <row r="62" spans="1:15" x14ac:dyDescent="0.25">
      <c r="B62" s="2" t="s">
        <v>1</v>
      </c>
    </row>
    <row r="63" spans="1:15" x14ac:dyDescent="0.25">
      <c r="B63" s="2" t="s">
        <v>433</v>
      </c>
    </row>
    <row r="64" spans="1:15" x14ac:dyDescent="0.25">
      <c r="B64" s="2" t="s">
        <v>1</v>
      </c>
    </row>
    <row r="65" spans="1:15" x14ac:dyDescent="0.25">
      <c r="A65" s="6" t="s">
        <v>4</v>
      </c>
      <c r="B65" s="6" t="s">
        <v>5</v>
      </c>
      <c r="C65" s="6" t="s">
        <v>6</v>
      </c>
      <c r="D65" s="6" t="s">
        <v>7</v>
      </c>
      <c r="E65" s="6" t="s">
        <v>8</v>
      </c>
      <c r="F65" s="6" t="s">
        <v>9</v>
      </c>
      <c r="G65" s="6" t="s">
        <v>10</v>
      </c>
      <c r="H65" s="6" t="s">
        <v>11</v>
      </c>
      <c r="I65" s="6" t="s">
        <v>12</v>
      </c>
      <c r="J65" s="6" t="s">
        <v>13</v>
      </c>
      <c r="K65" s="6" t="s">
        <v>14</v>
      </c>
      <c r="L65" s="6" t="s">
        <v>15</v>
      </c>
      <c r="M65" s="6" t="s">
        <v>16</v>
      </c>
      <c r="N65" s="6" t="s">
        <v>17</v>
      </c>
      <c r="O65" s="6" t="s">
        <v>18</v>
      </c>
    </row>
    <row r="66" spans="1:15" x14ac:dyDescent="0.25">
      <c r="A66" s="3" t="s">
        <v>386</v>
      </c>
      <c r="B66" s="3" t="s">
        <v>434</v>
      </c>
      <c r="C66" s="4">
        <v>45966</v>
      </c>
      <c r="D66" s="3" t="s">
        <v>21</v>
      </c>
      <c r="E66" s="3" t="s">
        <v>35</v>
      </c>
      <c r="F66" s="3" t="s">
        <v>141</v>
      </c>
      <c r="G66" s="3" t="s">
        <v>98</v>
      </c>
      <c r="H66" s="3" t="s">
        <v>25</v>
      </c>
      <c r="I66" s="3" t="s">
        <v>594</v>
      </c>
      <c r="J66" s="3" t="s">
        <v>595</v>
      </c>
      <c r="K66" s="3" t="s">
        <v>403</v>
      </c>
      <c r="L66" s="3" t="s">
        <v>404</v>
      </c>
      <c r="M66" s="8">
        <v>1</v>
      </c>
      <c r="N66" s="9">
        <v>5.2</v>
      </c>
      <c r="O66" s="8">
        <v>139.54</v>
      </c>
    </row>
    <row r="67" spans="1:15" x14ac:dyDescent="0.25">
      <c r="A67" s="3" t="s">
        <v>386</v>
      </c>
      <c r="B67" s="3" t="s">
        <v>434</v>
      </c>
      <c r="C67" s="4">
        <v>45967</v>
      </c>
      <c r="D67" s="3" t="s">
        <v>21</v>
      </c>
      <c r="E67" s="3" t="s">
        <v>30</v>
      </c>
      <c r="F67" s="3" t="s">
        <v>141</v>
      </c>
      <c r="G67" s="3" t="s">
        <v>98</v>
      </c>
      <c r="H67" s="3" t="s">
        <v>25</v>
      </c>
      <c r="I67" s="3" t="s">
        <v>596</v>
      </c>
      <c r="J67" s="3" t="s">
        <v>597</v>
      </c>
      <c r="K67" s="3" t="s">
        <v>403</v>
      </c>
      <c r="L67" s="3" t="s">
        <v>404</v>
      </c>
      <c r="M67" s="8">
        <v>1</v>
      </c>
      <c r="N67" s="9">
        <v>4.62</v>
      </c>
      <c r="O67" s="8">
        <v>123.97</v>
      </c>
    </row>
    <row r="68" spans="1:15" x14ac:dyDescent="0.25">
      <c r="A68" s="3" t="s">
        <v>386</v>
      </c>
      <c r="B68" s="3" t="s">
        <v>434</v>
      </c>
      <c r="C68" s="4">
        <v>45968</v>
      </c>
      <c r="D68" s="3" t="s">
        <v>21</v>
      </c>
      <c r="E68" s="3" t="s">
        <v>44</v>
      </c>
      <c r="F68" s="3" t="s">
        <v>141</v>
      </c>
      <c r="G68" s="3" t="s">
        <v>98</v>
      </c>
      <c r="H68" s="3" t="s">
        <v>25</v>
      </c>
      <c r="I68" s="3" t="s">
        <v>598</v>
      </c>
      <c r="J68" s="3" t="s">
        <v>599</v>
      </c>
      <c r="K68" s="3" t="s">
        <v>390</v>
      </c>
      <c r="L68" s="3" t="s">
        <v>34</v>
      </c>
      <c r="M68" s="8">
        <v>1</v>
      </c>
      <c r="N68" s="9">
        <v>2.62</v>
      </c>
      <c r="O68" s="8">
        <v>70.31</v>
      </c>
    </row>
    <row r="69" spans="1:15" x14ac:dyDescent="0.25">
      <c r="A69" s="3" t="s">
        <v>386</v>
      </c>
      <c r="B69" s="3" t="s">
        <v>434</v>
      </c>
      <c r="C69" s="4">
        <v>45974</v>
      </c>
      <c r="D69" s="3" t="s">
        <v>21</v>
      </c>
      <c r="E69" s="3" t="s">
        <v>30</v>
      </c>
      <c r="F69" s="3" t="s">
        <v>141</v>
      </c>
      <c r="G69" s="3" t="s">
        <v>98</v>
      </c>
      <c r="H69" s="3" t="s">
        <v>25</v>
      </c>
      <c r="I69" s="3" t="s">
        <v>600</v>
      </c>
      <c r="J69" s="3" t="s">
        <v>601</v>
      </c>
      <c r="K69" s="3" t="s">
        <v>403</v>
      </c>
      <c r="L69" s="3" t="s">
        <v>404</v>
      </c>
      <c r="M69" s="8">
        <v>1</v>
      </c>
      <c r="N69" s="9">
        <v>2.9</v>
      </c>
      <c r="O69" s="8">
        <v>77.819999999999993</v>
      </c>
    </row>
    <row r="70" spans="1:15" x14ac:dyDescent="0.25">
      <c r="A70" s="3" t="s">
        <v>386</v>
      </c>
      <c r="B70" s="3" t="s">
        <v>434</v>
      </c>
      <c r="C70" s="4">
        <v>45980</v>
      </c>
      <c r="D70" s="3" t="s">
        <v>21</v>
      </c>
      <c r="E70" s="3" t="s">
        <v>35</v>
      </c>
      <c r="F70" s="3" t="s">
        <v>141</v>
      </c>
      <c r="G70" s="3" t="s">
        <v>98</v>
      </c>
      <c r="H70" s="3" t="s">
        <v>25</v>
      </c>
      <c r="I70" s="3" t="s">
        <v>602</v>
      </c>
      <c r="J70" s="3" t="s">
        <v>603</v>
      </c>
      <c r="K70" s="3" t="s">
        <v>403</v>
      </c>
      <c r="L70" s="3" t="s">
        <v>404</v>
      </c>
      <c r="M70" s="8">
        <v>1</v>
      </c>
      <c r="N70" s="9">
        <v>6.6</v>
      </c>
      <c r="O70" s="8">
        <v>177.11</v>
      </c>
    </row>
    <row r="71" spans="1:15" x14ac:dyDescent="0.25">
      <c r="A71" s="3" t="s">
        <v>386</v>
      </c>
      <c r="B71" s="3" t="s">
        <v>434</v>
      </c>
      <c r="C71" s="4">
        <v>45981</v>
      </c>
      <c r="D71" s="3" t="s">
        <v>21</v>
      </c>
      <c r="E71" s="3" t="s">
        <v>30</v>
      </c>
      <c r="F71" s="3" t="s">
        <v>141</v>
      </c>
      <c r="G71" s="3" t="s">
        <v>98</v>
      </c>
      <c r="H71" s="3" t="s">
        <v>25</v>
      </c>
      <c r="I71" s="3" t="s">
        <v>604</v>
      </c>
      <c r="J71" s="3" t="s">
        <v>605</v>
      </c>
      <c r="K71" s="3" t="s">
        <v>403</v>
      </c>
      <c r="L71" s="3" t="s">
        <v>404</v>
      </c>
      <c r="M71" s="8">
        <v>1</v>
      </c>
      <c r="N71" s="9">
        <v>3.76</v>
      </c>
      <c r="O71" s="8">
        <v>100.9</v>
      </c>
    </row>
    <row r="72" spans="1:15" x14ac:dyDescent="0.25">
      <c r="A72" s="3" t="s">
        <v>386</v>
      </c>
      <c r="B72" s="3" t="s">
        <v>434</v>
      </c>
      <c r="C72" s="4">
        <v>45982</v>
      </c>
      <c r="D72" s="3" t="s">
        <v>21</v>
      </c>
      <c r="E72" s="3" t="s">
        <v>44</v>
      </c>
      <c r="F72" s="3" t="s">
        <v>141</v>
      </c>
      <c r="G72" s="3" t="s">
        <v>98</v>
      </c>
      <c r="H72" s="3" t="s">
        <v>25</v>
      </c>
      <c r="I72" s="3" t="s">
        <v>606</v>
      </c>
      <c r="J72" s="3" t="s">
        <v>607</v>
      </c>
      <c r="K72" s="3" t="s">
        <v>403</v>
      </c>
      <c r="L72" s="3" t="s">
        <v>404</v>
      </c>
      <c r="M72" s="8">
        <v>1</v>
      </c>
      <c r="N72" s="9">
        <v>4.58</v>
      </c>
      <c r="O72" s="8">
        <v>122.9</v>
      </c>
    </row>
    <row r="73" spans="1:15" x14ac:dyDescent="0.25">
      <c r="A73" s="3" t="s">
        <v>386</v>
      </c>
      <c r="B73" s="3" t="s">
        <v>434</v>
      </c>
      <c r="C73" s="4">
        <v>45986</v>
      </c>
      <c r="D73" s="3" t="s">
        <v>21</v>
      </c>
      <c r="E73" s="3" t="s">
        <v>58</v>
      </c>
      <c r="F73" s="3" t="s">
        <v>141</v>
      </c>
      <c r="G73" s="3" t="s">
        <v>98</v>
      </c>
      <c r="H73" s="3" t="s">
        <v>25</v>
      </c>
      <c r="I73" s="3" t="s">
        <v>608</v>
      </c>
      <c r="J73" s="3" t="s">
        <v>609</v>
      </c>
      <c r="K73" s="3" t="s">
        <v>71</v>
      </c>
      <c r="L73" s="3" t="s">
        <v>63</v>
      </c>
      <c r="M73" s="8">
        <v>1</v>
      </c>
      <c r="N73" s="9">
        <v>4.28</v>
      </c>
      <c r="O73" s="8">
        <v>114.85</v>
      </c>
    </row>
    <row r="74" spans="1:15" x14ac:dyDescent="0.25">
      <c r="A74" s="3" t="s">
        <v>386</v>
      </c>
      <c r="B74" s="3" t="s">
        <v>434</v>
      </c>
      <c r="C74" s="4">
        <v>45989</v>
      </c>
      <c r="D74" s="3" t="s">
        <v>21</v>
      </c>
      <c r="E74" s="3" t="s">
        <v>44</v>
      </c>
      <c r="F74" s="3" t="s">
        <v>141</v>
      </c>
      <c r="G74" s="3" t="s">
        <v>98</v>
      </c>
      <c r="H74" s="3" t="s">
        <v>25</v>
      </c>
      <c r="I74" s="3" t="s">
        <v>610</v>
      </c>
      <c r="J74" s="3" t="s">
        <v>611</v>
      </c>
      <c r="K74" s="3" t="s">
        <v>403</v>
      </c>
      <c r="L74" s="3" t="s">
        <v>404</v>
      </c>
      <c r="M74" s="8">
        <v>1</v>
      </c>
      <c r="N74" s="9">
        <v>3.78</v>
      </c>
      <c r="O74" s="8">
        <v>101.43</v>
      </c>
    </row>
    <row r="75" spans="1:15" x14ac:dyDescent="0.25">
      <c r="A75" s="10" t="s">
        <v>1</v>
      </c>
      <c r="B75" s="10" t="s">
        <v>442</v>
      </c>
      <c r="C75" s="10" t="s">
        <v>1</v>
      </c>
      <c r="D75" s="10" t="s">
        <v>1</v>
      </c>
      <c r="E75" s="10" t="s">
        <v>1</v>
      </c>
      <c r="F75" s="10" t="s">
        <v>1</v>
      </c>
      <c r="G75" s="10" t="s">
        <v>1</v>
      </c>
      <c r="H75" s="10" t="s">
        <v>1</v>
      </c>
      <c r="I75" s="10" t="s">
        <v>1</v>
      </c>
      <c r="J75" s="10" t="s">
        <v>1</v>
      </c>
      <c r="K75" s="10" t="s">
        <v>1</v>
      </c>
      <c r="L75" s="10" t="s">
        <v>1</v>
      </c>
      <c r="M75" s="11">
        <v>9</v>
      </c>
      <c r="N75" s="11">
        <v>38.340000000000003</v>
      </c>
      <c r="O75" s="11">
        <v>1028.83</v>
      </c>
    </row>
    <row r="76" spans="1:15" x14ac:dyDescent="0.25">
      <c r="A76" s="5" t="s">
        <v>1</v>
      </c>
      <c r="B76" s="5" t="s">
        <v>191</v>
      </c>
      <c r="C76" s="5" t="s">
        <v>1</v>
      </c>
      <c r="D76" s="5" t="s">
        <v>1</v>
      </c>
      <c r="E76" s="5" t="s">
        <v>1</v>
      </c>
      <c r="F76" s="5" t="s">
        <v>1</v>
      </c>
      <c r="G76" s="5" t="s">
        <v>1</v>
      </c>
      <c r="H76" s="5" t="s">
        <v>1</v>
      </c>
      <c r="I76" s="5" t="s">
        <v>1</v>
      </c>
      <c r="J76" s="5" t="s">
        <v>1</v>
      </c>
      <c r="K76" s="5" t="s">
        <v>1</v>
      </c>
      <c r="L76" s="5" t="s">
        <v>1</v>
      </c>
      <c r="M76" s="8">
        <v>42</v>
      </c>
      <c r="N76" s="9">
        <v>163.08000000000001</v>
      </c>
      <c r="O76" s="8">
        <v>4376.1499999999996</v>
      </c>
    </row>
    <row r="77" spans="1:15" x14ac:dyDescent="0.25">
      <c r="B77" s="2" t="s">
        <v>1</v>
      </c>
    </row>
    <row r="78" spans="1:15" x14ac:dyDescent="0.25">
      <c r="B78" s="2" t="s">
        <v>443</v>
      </c>
    </row>
    <row r="79" spans="1:15" x14ac:dyDescent="0.25">
      <c r="B79" s="2" t="s">
        <v>1</v>
      </c>
    </row>
    <row r="80" spans="1:15" x14ac:dyDescent="0.25">
      <c r="A80" s="6" t="s">
        <v>4</v>
      </c>
      <c r="B80" s="6" t="s">
        <v>5</v>
      </c>
      <c r="C80" s="6" t="s">
        <v>6</v>
      </c>
      <c r="D80" s="6" t="s">
        <v>7</v>
      </c>
      <c r="E80" s="6" t="s">
        <v>8</v>
      </c>
      <c r="F80" s="6" t="s">
        <v>9</v>
      </c>
      <c r="G80" s="6" t="s">
        <v>10</v>
      </c>
      <c r="H80" s="6" t="s">
        <v>11</v>
      </c>
      <c r="I80" s="6" t="s">
        <v>12</v>
      </c>
      <c r="J80" s="6" t="s">
        <v>13</v>
      </c>
      <c r="K80" s="6" t="s">
        <v>14</v>
      </c>
      <c r="L80" s="6" t="s">
        <v>15</v>
      </c>
      <c r="M80" s="6" t="s">
        <v>16</v>
      </c>
      <c r="N80" s="6" t="s">
        <v>17</v>
      </c>
      <c r="O80" s="6" t="s">
        <v>18</v>
      </c>
    </row>
    <row r="81" spans="1:15" x14ac:dyDescent="0.25">
      <c r="A81" s="3" t="s">
        <v>386</v>
      </c>
      <c r="B81" s="3" t="s">
        <v>444</v>
      </c>
      <c r="C81" s="4">
        <v>45966</v>
      </c>
      <c r="D81" s="3" t="s">
        <v>21</v>
      </c>
      <c r="E81" s="3" t="s">
        <v>35</v>
      </c>
      <c r="F81" s="3" t="s">
        <v>141</v>
      </c>
      <c r="G81" s="3" t="s">
        <v>98</v>
      </c>
      <c r="H81" s="3" t="s">
        <v>123</v>
      </c>
      <c r="I81" s="3" t="s">
        <v>612</v>
      </c>
      <c r="J81" s="3" t="s">
        <v>613</v>
      </c>
      <c r="K81" s="3" t="s">
        <v>33</v>
      </c>
      <c r="L81" s="3" t="s">
        <v>47</v>
      </c>
      <c r="M81" s="8">
        <v>1</v>
      </c>
      <c r="N81" s="9">
        <v>7.32</v>
      </c>
      <c r="O81" s="8">
        <v>152.79</v>
      </c>
    </row>
    <row r="82" spans="1:15" x14ac:dyDescent="0.25">
      <c r="A82" s="3" t="s">
        <v>386</v>
      </c>
      <c r="B82" s="3" t="s">
        <v>444</v>
      </c>
      <c r="C82" s="4">
        <v>45973</v>
      </c>
      <c r="D82" s="3" t="s">
        <v>21</v>
      </c>
      <c r="E82" s="3" t="s">
        <v>35</v>
      </c>
      <c r="F82" s="3" t="s">
        <v>141</v>
      </c>
      <c r="G82" s="3" t="s">
        <v>98</v>
      </c>
      <c r="H82" s="3" t="s">
        <v>123</v>
      </c>
      <c r="I82" s="3" t="s">
        <v>614</v>
      </c>
      <c r="J82" s="3" t="s">
        <v>615</v>
      </c>
      <c r="K82" s="3" t="s">
        <v>105</v>
      </c>
      <c r="L82" s="3" t="s">
        <v>106</v>
      </c>
      <c r="M82" s="8">
        <v>1</v>
      </c>
      <c r="N82" s="9">
        <v>8.26</v>
      </c>
      <c r="O82" s="8">
        <v>172.41</v>
      </c>
    </row>
    <row r="83" spans="1:15" x14ac:dyDescent="0.25">
      <c r="A83" s="3" t="s">
        <v>386</v>
      </c>
      <c r="B83" s="3" t="s">
        <v>444</v>
      </c>
      <c r="C83" s="4">
        <v>45979</v>
      </c>
      <c r="D83" s="3" t="s">
        <v>21</v>
      </c>
      <c r="E83" s="3" t="s">
        <v>58</v>
      </c>
      <c r="F83" s="3" t="s">
        <v>141</v>
      </c>
      <c r="G83" s="3" t="s">
        <v>98</v>
      </c>
      <c r="H83" s="3" t="s">
        <v>123</v>
      </c>
      <c r="I83" s="3" t="s">
        <v>616</v>
      </c>
      <c r="J83" s="3" t="s">
        <v>617</v>
      </c>
      <c r="K83" s="3" t="s">
        <v>105</v>
      </c>
      <c r="L83" s="3" t="s">
        <v>106</v>
      </c>
      <c r="M83" s="8">
        <v>1</v>
      </c>
      <c r="N83" s="9">
        <v>7.4</v>
      </c>
      <c r="O83" s="8">
        <v>154.46</v>
      </c>
    </row>
    <row r="84" spans="1:15" x14ac:dyDescent="0.25">
      <c r="A84" s="3" t="s">
        <v>386</v>
      </c>
      <c r="B84" s="3" t="s">
        <v>444</v>
      </c>
      <c r="C84" s="4">
        <v>45982</v>
      </c>
      <c r="D84" s="3" t="s">
        <v>21</v>
      </c>
      <c r="E84" s="3" t="s">
        <v>44</v>
      </c>
      <c r="F84" s="3" t="s">
        <v>141</v>
      </c>
      <c r="G84" s="3" t="s">
        <v>98</v>
      </c>
      <c r="H84" s="3" t="s">
        <v>123</v>
      </c>
      <c r="I84" s="3" t="s">
        <v>618</v>
      </c>
      <c r="J84" s="3" t="s">
        <v>619</v>
      </c>
      <c r="K84" s="3" t="s">
        <v>403</v>
      </c>
      <c r="L84" s="3" t="s">
        <v>404</v>
      </c>
      <c r="M84" s="8">
        <v>1</v>
      </c>
      <c r="N84" s="9">
        <v>6.72</v>
      </c>
      <c r="O84" s="8">
        <v>140.26</v>
      </c>
    </row>
    <row r="85" spans="1:15" x14ac:dyDescent="0.25">
      <c r="A85" s="3" t="s">
        <v>386</v>
      </c>
      <c r="B85" s="3" t="s">
        <v>444</v>
      </c>
      <c r="C85" s="4">
        <v>45990</v>
      </c>
      <c r="D85" s="3" t="s">
        <v>21</v>
      </c>
      <c r="E85" s="3" t="s">
        <v>22</v>
      </c>
      <c r="F85" s="3" t="s">
        <v>141</v>
      </c>
      <c r="G85" s="3" t="s">
        <v>98</v>
      </c>
      <c r="H85" s="3" t="s">
        <v>123</v>
      </c>
      <c r="I85" s="3" t="s">
        <v>620</v>
      </c>
      <c r="J85" s="3" t="s">
        <v>621</v>
      </c>
      <c r="K85" s="3" t="s">
        <v>390</v>
      </c>
      <c r="L85" s="3" t="s">
        <v>109</v>
      </c>
      <c r="M85" s="8">
        <v>1</v>
      </c>
      <c r="N85" s="9">
        <v>7.36</v>
      </c>
      <c r="O85" s="8">
        <v>153.62</v>
      </c>
    </row>
    <row r="86" spans="1:15" x14ac:dyDescent="0.25">
      <c r="A86" s="10" t="s">
        <v>1</v>
      </c>
      <c r="B86" s="10" t="s">
        <v>622</v>
      </c>
      <c r="C86" s="10" t="s">
        <v>1</v>
      </c>
      <c r="D86" s="10" t="s">
        <v>1</v>
      </c>
      <c r="E86" s="10" t="s">
        <v>1</v>
      </c>
      <c r="F86" s="10" t="s">
        <v>1</v>
      </c>
      <c r="G86" s="10" t="s">
        <v>1</v>
      </c>
      <c r="H86" s="10" t="s">
        <v>1</v>
      </c>
      <c r="I86" s="10" t="s">
        <v>1</v>
      </c>
      <c r="J86" s="10" t="s">
        <v>1</v>
      </c>
      <c r="K86" s="10" t="s">
        <v>1</v>
      </c>
      <c r="L86" s="10" t="s">
        <v>1</v>
      </c>
      <c r="M86" s="11">
        <v>5</v>
      </c>
      <c r="N86" s="11">
        <v>37.06</v>
      </c>
      <c r="O86" s="11">
        <v>773.53</v>
      </c>
    </row>
    <row r="87" spans="1:15" x14ac:dyDescent="0.25">
      <c r="A87" s="5" t="s">
        <v>1</v>
      </c>
      <c r="B87" s="5" t="s">
        <v>623</v>
      </c>
      <c r="C87" s="5" t="s">
        <v>1</v>
      </c>
      <c r="D87" s="5" t="s">
        <v>1</v>
      </c>
      <c r="E87" s="5" t="s">
        <v>1</v>
      </c>
      <c r="F87" s="5" t="s">
        <v>1</v>
      </c>
      <c r="G87" s="5" t="s">
        <v>1</v>
      </c>
      <c r="H87" s="5" t="s">
        <v>1</v>
      </c>
      <c r="I87" s="5" t="s">
        <v>1</v>
      </c>
      <c r="J87" s="5" t="s">
        <v>1</v>
      </c>
      <c r="K87" s="5" t="s">
        <v>1</v>
      </c>
      <c r="L87" s="5" t="s">
        <v>1</v>
      </c>
      <c r="M87" s="5">
        <v>5</v>
      </c>
      <c r="N87" s="5">
        <v>37.06</v>
      </c>
      <c r="O87" s="5">
        <v>773.53</v>
      </c>
    </row>
    <row r="88" spans="1:15" x14ac:dyDescent="0.25">
      <c r="A88" s="10" t="s">
        <v>1</v>
      </c>
      <c r="B88" s="10" t="s">
        <v>624</v>
      </c>
      <c r="C88" s="10" t="s">
        <v>1</v>
      </c>
      <c r="D88" s="10" t="s">
        <v>1</v>
      </c>
      <c r="E88" s="10" t="s">
        <v>1</v>
      </c>
      <c r="F88" s="10" t="s">
        <v>1</v>
      </c>
      <c r="G88" s="10" t="s">
        <v>1</v>
      </c>
      <c r="H88" s="10" t="s">
        <v>1</v>
      </c>
      <c r="I88" s="10" t="s">
        <v>1</v>
      </c>
      <c r="J88" s="10" t="s">
        <v>1</v>
      </c>
      <c r="K88" s="10" t="s">
        <v>1</v>
      </c>
      <c r="L88" s="10" t="s">
        <v>1</v>
      </c>
      <c r="M88" s="11">
        <v>47</v>
      </c>
      <c r="N88" s="11">
        <v>200.14</v>
      </c>
      <c r="O88" s="11">
        <v>5149.68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63"/>
  <sheetViews>
    <sheetView topLeftCell="A28" workbookViewId="0"/>
  </sheetViews>
  <sheetFormatPr baseColWidth="10" defaultColWidth="9.140625" defaultRowHeight="15" x14ac:dyDescent="0.25"/>
  <cols>
    <col min="1" max="1" width="25.7109375" bestFit="1" customWidth="1"/>
    <col min="2" max="2" width="70.5703125" bestFit="1" customWidth="1"/>
    <col min="3" max="3" width="9.28515625" bestFit="1" customWidth="1"/>
    <col min="4" max="4" width="6" bestFit="1" customWidth="1"/>
    <col min="5" max="5" width="8.140625" bestFit="1" customWidth="1"/>
    <col min="6" max="6" width="30.2851562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794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385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386</v>
      </c>
      <c r="B13" s="12" t="s">
        <v>387</v>
      </c>
      <c r="C13" s="7">
        <v>45962</v>
      </c>
      <c r="D13" s="12" t="s">
        <v>82</v>
      </c>
      <c r="E13" s="12" t="s">
        <v>22</v>
      </c>
      <c r="F13" s="12" t="s">
        <v>265</v>
      </c>
      <c r="G13" s="12" t="s">
        <v>98</v>
      </c>
      <c r="H13" s="12" t="s">
        <v>25</v>
      </c>
      <c r="I13" s="12" t="s">
        <v>795</v>
      </c>
      <c r="J13" s="12" t="s">
        <v>796</v>
      </c>
      <c r="K13" s="12" t="s">
        <v>71</v>
      </c>
      <c r="L13" s="12" t="s">
        <v>63</v>
      </c>
      <c r="M13" s="13">
        <v>1</v>
      </c>
      <c r="N13" s="13">
        <v>3.14</v>
      </c>
      <c r="O13" s="13">
        <v>102.98</v>
      </c>
    </row>
    <row r="14" spans="1:15" x14ac:dyDescent="0.25">
      <c r="A14" s="14" t="s">
        <v>386</v>
      </c>
      <c r="B14" s="14" t="s">
        <v>387</v>
      </c>
      <c r="C14" s="7">
        <v>45970</v>
      </c>
      <c r="D14" s="14" t="s">
        <v>21</v>
      </c>
      <c r="E14" s="14" t="s">
        <v>85</v>
      </c>
      <c r="F14" s="14" t="s">
        <v>265</v>
      </c>
      <c r="G14" s="14" t="s">
        <v>98</v>
      </c>
      <c r="H14" s="14" t="s">
        <v>25</v>
      </c>
      <c r="I14" s="14" t="s">
        <v>797</v>
      </c>
      <c r="J14" s="14" t="s">
        <v>798</v>
      </c>
      <c r="K14" s="14" t="s">
        <v>393</v>
      </c>
      <c r="L14" s="14" t="s">
        <v>63</v>
      </c>
      <c r="M14" s="15">
        <v>1</v>
      </c>
      <c r="N14" s="15">
        <v>3.9</v>
      </c>
      <c r="O14" s="15">
        <v>127.91</v>
      </c>
    </row>
    <row r="15" spans="1:15" x14ac:dyDescent="0.25">
      <c r="A15" s="12" t="s">
        <v>386</v>
      </c>
      <c r="B15" s="12" t="s">
        <v>387</v>
      </c>
      <c r="C15" s="7">
        <v>45972</v>
      </c>
      <c r="D15" s="12" t="s">
        <v>82</v>
      </c>
      <c r="E15" s="12" t="s">
        <v>58</v>
      </c>
      <c r="F15" s="12" t="s">
        <v>265</v>
      </c>
      <c r="G15" s="12" t="s">
        <v>98</v>
      </c>
      <c r="H15" s="12" t="s">
        <v>25</v>
      </c>
      <c r="I15" s="12" t="s">
        <v>799</v>
      </c>
      <c r="J15" s="12" t="s">
        <v>800</v>
      </c>
      <c r="K15" s="12" t="s">
        <v>71</v>
      </c>
      <c r="L15" s="12" t="s">
        <v>63</v>
      </c>
      <c r="M15" s="13">
        <v>1</v>
      </c>
      <c r="N15" s="13">
        <v>4.4000000000000004</v>
      </c>
      <c r="O15" s="13">
        <v>144.30000000000001</v>
      </c>
    </row>
    <row r="16" spans="1:15" x14ac:dyDescent="0.25">
      <c r="A16" s="14" t="s">
        <v>386</v>
      </c>
      <c r="B16" s="14" t="s">
        <v>387</v>
      </c>
      <c r="C16" s="7">
        <v>45991</v>
      </c>
      <c r="D16" s="14" t="s">
        <v>21</v>
      </c>
      <c r="E16" s="14" t="s">
        <v>85</v>
      </c>
      <c r="F16" s="14" t="s">
        <v>265</v>
      </c>
      <c r="G16" s="14" t="s">
        <v>98</v>
      </c>
      <c r="H16" s="14" t="s">
        <v>25</v>
      </c>
      <c r="I16" s="14" t="s">
        <v>801</v>
      </c>
      <c r="J16" s="14" t="s">
        <v>802</v>
      </c>
      <c r="K16" s="14" t="s">
        <v>393</v>
      </c>
      <c r="L16" s="14" t="s">
        <v>65</v>
      </c>
      <c r="M16" s="15">
        <v>1</v>
      </c>
      <c r="N16" s="15">
        <v>5.86</v>
      </c>
      <c r="O16" s="15">
        <v>192.19</v>
      </c>
    </row>
    <row r="17" spans="1:15" x14ac:dyDescent="0.25">
      <c r="A17" s="10" t="s">
        <v>1</v>
      </c>
      <c r="B17" s="10" t="s">
        <v>398</v>
      </c>
      <c r="C17" s="10" t="s">
        <v>1</v>
      </c>
      <c r="D17" s="10" t="s">
        <v>1</v>
      </c>
      <c r="E17" s="10" t="s">
        <v>1</v>
      </c>
      <c r="F17" s="10" t="s">
        <v>1</v>
      </c>
      <c r="G17" s="10" t="s">
        <v>1</v>
      </c>
      <c r="H17" s="10" t="s">
        <v>1</v>
      </c>
      <c r="I17" s="10" t="s">
        <v>1</v>
      </c>
      <c r="J17" s="10" t="s">
        <v>1</v>
      </c>
      <c r="K17" s="10" t="s">
        <v>1</v>
      </c>
      <c r="L17" s="10" t="s">
        <v>1</v>
      </c>
      <c r="M17" s="11">
        <v>4</v>
      </c>
      <c r="N17" s="11">
        <v>17.3</v>
      </c>
      <c r="O17" s="11">
        <v>567.38</v>
      </c>
    </row>
    <row r="18" spans="1:15" x14ac:dyDescent="0.25">
      <c r="B18" s="2" t="s">
        <v>1</v>
      </c>
    </row>
    <row r="19" spans="1:15" x14ac:dyDescent="0.25">
      <c r="B19" s="2" t="s">
        <v>399</v>
      </c>
    </row>
    <row r="20" spans="1:15" x14ac:dyDescent="0.25">
      <c r="B20" s="2" t="s">
        <v>1</v>
      </c>
    </row>
    <row r="21" spans="1:15" x14ac:dyDescent="0.25">
      <c r="A21" s="6" t="s">
        <v>4</v>
      </c>
      <c r="B21" s="6" t="s">
        <v>5</v>
      </c>
      <c r="C21" s="6" t="s">
        <v>6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11</v>
      </c>
      <c r="I21" s="6" t="s">
        <v>12</v>
      </c>
      <c r="J21" s="6" t="s">
        <v>13</v>
      </c>
      <c r="K21" s="6" t="s">
        <v>14</v>
      </c>
      <c r="L21" s="6" t="s">
        <v>15</v>
      </c>
      <c r="M21" s="6" t="s">
        <v>16</v>
      </c>
      <c r="N21" s="6" t="s">
        <v>17</v>
      </c>
      <c r="O21" s="6" t="s">
        <v>18</v>
      </c>
    </row>
    <row r="22" spans="1:15" x14ac:dyDescent="0.25">
      <c r="A22" s="14" t="s">
        <v>386</v>
      </c>
      <c r="B22" s="14" t="s">
        <v>400</v>
      </c>
      <c r="C22" s="7">
        <v>45963</v>
      </c>
      <c r="D22" s="14" t="s">
        <v>21</v>
      </c>
      <c r="E22" s="14" t="s">
        <v>85</v>
      </c>
      <c r="F22" s="14" t="s">
        <v>265</v>
      </c>
      <c r="G22" s="14" t="s">
        <v>98</v>
      </c>
      <c r="H22" s="14" t="s">
        <v>25</v>
      </c>
      <c r="I22" s="14" t="s">
        <v>803</v>
      </c>
      <c r="J22" s="14" t="s">
        <v>804</v>
      </c>
      <c r="K22" s="14" t="s">
        <v>393</v>
      </c>
      <c r="L22" s="14" t="s">
        <v>68</v>
      </c>
      <c r="M22" s="15">
        <v>1</v>
      </c>
      <c r="N22" s="15">
        <v>3.88</v>
      </c>
      <c r="O22" s="15">
        <v>127.25</v>
      </c>
    </row>
    <row r="23" spans="1:15" x14ac:dyDescent="0.25">
      <c r="A23" s="14" t="s">
        <v>386</v>
      </c>
      <c r="B23" s="14" t="s">
        <v>400</v>
      </c>
      <c r="C23" s="7">
        <v>45970</v>
      </c>
      <c r="D23" s="14" t="s">
        <v>21</v>
      </c>
      <c r="E23" s="14" t="s">
        <v>85</v>
      </c>
      <c r="F23" s="14" t="s">
        <v>265</v>
      </c>
      <c r="G23" s="14" t="s">
        <v>98</v>
      </c>
      <c r="H23" s="14" t="s">
        <v>25</v>
      </c>
      <c r="I23" s="14" t="s">
        <v>805</v>
      </c>
      <c r="J23" s="14" t="s">
        <v>806</v>
      </c>
      <c r="K23" s="14" t="s">
        <v>393</v>
      </c>
      <c r="L23" s="14" t="s">
        <v>63</v>
      </c>
      <c r="M23" s="15">
        <v>1</v>
      </c>
      <c r="N23" s="15">
        <v>3.9</v>
      </c>
      <c r="O23" s="15">
        <v>127.91</v>
      </c>
    </row>
    <row r="24" spans="1:15" x14ac:dyDescent="0.25">
      <c r="A24" s="14" t="s">
        <v>386</v>
      </c>
      <c r="B24" s="14" t="s">
        <v>400</v>
      </c>
      <c r="C24" s="7">
        <v>45977</v>
      </c>
      <c r="D24" s="14" t="s">
        <v>21</v>
      </c>
      <c r="E24" s="14" t="s">
        <v>85</v>
      </c>
      <c r="F24" s="14" t="s">
        <v>265</v>
      </c>
      <c r="G24" s="14" t="s">
        <v>98</v>
      </c>
      <c r="H24" s="14" t="s">
        <v>25</v>
      </c>
      <c r="I24" s="14" t="s">
        <v>807</v>
      </c>
      <c r="J24" s="14" t="s">
        <v>808</v>
      </c>
      <c r="K24" s="14" t="s">
        <v>393</v>
      </c>
      <c r="L24" s="14" t="s">
        <v>65</v>
      </c>
      <c r="M24" s="15">
        <v>1</v>
      </c>
      <c r="N24" s="15">
        <v>3.88</v>
      </c>
      <c r="O24" s="15">
        <v>127.25</v>
      </c>
    </row>
    <row r="25" spans="1:15" x14ac:dyDescent="0.25">
      <c r="A25" s="14" t="s">
        <v>386</v>
      </c>
      <c r="B25" s="14" t="s">
        <v>400</v>
      </c>
      <c r="C25" s="7">
        <v>45984</v>
      </c>
      <c r="D25" s="14" t="s">
        <v>21</v>
      </c>
      <c r="E25" s="14" t="s">
        <v>85</v>
      </c>
      <c r="F25" s="14" t="s">
        <v>265</v>
      </c>
      <c r="G25" s="14" t="s">
        <v>98</v>
      </c>
      <c r="H25" s="14" t="s">
        <v>25</v>
      </c>
      <c r="I25" s="14" t="s">
        <v>809</v>
      </c>
      <c r="J25" s="14" t="s">
        <v>810</v>
      </c>
      <c r="K25" s="14" t="s">
        <v>393</v>
      </c>
      <c r="L25" s="14" t="s">
        <v>68</v>
      </c>
      <c r="M25" s="15">
        <v>1</v>
      </c>
      <c r="N25" s="15">
        <v>4.72</v>
      </c>
      <c r="O25" s="15">
        <v>154.80000000000001</v>
      </c>
    </row>
    <row r="26" spans="1:15" x14ac:dyDescent="0.25">
      <c r="A26" s="10" t="s">
        <v>1</v>
      </c>
      <c r="B26" s="10" t="s">
        <v>415</v>
      </c>
      <c r="C26" s="10" t="s">
        <v>1</v>
      </c>
      <c r="D26" s="10" t="s">
        <v>1</v>
      </c>
      <c r="E26" s="10" t="s">
        <v>1</v>
      </c>
      <c r="F26" s="10" t="s">
        <v>1</v>
      </c>
      <c r="G26" s="10" t="s">
        <v>1</v>
      </c>
      <c r="H26" s="10" t="s">
        <v>1</v>
      </c>
      <c r="I26" s="10" t="s">
        <v>1</v>
      </c>
      <c r="J26" s="10" t="s">
        <v>1</v>
      </c>
      <c r="K26" s="10" t="s">
        <v>1</v>
      </c>
      <c r="L26" s="10" t="s">
        <v>1</v>
      </c>
      <c r="M26" s="11">
        <v>4</v>
      </c>
      <c r="N26" s="11">
        <v>16.38</v>
      </c>
      <c r="O26" s="11">
        <v>537.21</v>
      </c>
    </row>
    <row r="27" spans="1:15" x14ac:dyDescent="0.25">
      <c r="B27" s="2" t="s">
        <v>1</v>
      </c>
    </row>
    <row r="28" spans="1:15" x14ac:dyDescent="0.25">
      <c r="B28" s="2" t="s">
        <v>416</v>
      </c>
    </row>
    <row r="29" spans="1:15" x14ac:dyDescent="0.25">
      <c r="B29" s="2" t="s">
        <v>1</v>
      </c>
    </row>
    <row r="30" spans="1:15" x14ac:dyDescent="0.25">
      <c r="A30" s="6" t="s">
        <v>4</v>
      </c>
      <c r="B30" s="6" t="s">
        <v>5</v>
      </c>
      <c r="C30" s="6" t="s">
        <v>6</v>
      </c>
      <c r="D30" s="6" t="s">
        <v>7</v>
      </c>
      <c r="E30" s="6" t="s">
        <v>8</v>
      </c>
      <c r="F30" s="6" t="s">
        <v>9</v>
      </c>
      <c r="G30" s="6" t="s">
        <v>10</v>
      </c>
      <c r="H30" s="6" t="s">
        <v>11</v>
      </c>
      <c r="I30" s="6" t="s">
        <v>12</v>
      </c>
      <c r="J30" s="6" t="s">
        <v>13</v>
      </c>
      <c r="K30" s="6" t="s">
        <v>14</v>
      </c>
      <c r="L30" s="6" t="s">
        <v>15</v>
      </c>
      <c r="M30" s="6" t="s">
        <v>16</v>
      </c>
      <c r="N30" s="6" t="s">
        <v>17</v>
      </c>
      <c r="O30" s="6" t="s">
        <v>18</v>
      </c>
    </row>
    <row r="31" spans="1:15" x14ac:dyDescent="0.25">
      <c r="A31" s="12" t="s">
        <v>386</v>
      </c>
      <c r="B31" s="12" t="s">
        <v>417</v>
      </c>
      <c r="C31" s="7">
        <v>45962</v>
      </c>
      <c r="D31" s="12" t="s">
        <v>82</v>
      </c>
      <c r="E31" s="12" t="s">
        <v>22</v>
      </c>
      <c r="F31" s="12" t="s">
        <v>265</v>
      </c>
      <c r="G31" s="12" t="s">
        <v>98</v>
      </c>
      <c r="H31" s="12" t="s">
        <v>25</v>
      </c>
      <c r="I31" s="12" t="s">
        <v>811</v>
      </c>
      <c r="J31" s="12" t="s">
        <v>812</v>
      </c>
      <c r="K31" s="12" t="s">
        <v>452</v>
      </c>
      <c r="L31" s="12" t="s">
        <v>47</v>
      </c>
      <c r="M31" s="13">
        <v>1</v>
      </c>
      <c r="N31" s="13">
        <v>3.74</v>
      </c>
      <c r="O31" s="13">
        <v>122.66</v>
      </c>
    </row>
    <row r="32" spans="1:15" x14ac:dyDescent="0.25">
      <c r="A32" s="12" t="s">
        <v>386</v>
      </c>
      <c r="B32" s="12" t="s">
        <v>417</v>
      </c>
      <c r="C32" s="7">
        <v>45962</v>
      </c>
      <c r="D32" s="12" t="s">
        <v>82</v>
      </c>
      <c r="E32" s="12" t="s">
        <v>22</v>
      </c>
      <c r="F32" s="12" t="s">
        <v>265</v>
      </c>
      <c r="G32" s="12" t="s">
        <v>98</v>
      </c>
      <c r="H32" s="12" t="s">
        <v>25</v>
      </c>
      <c r="I32" s="12" t="s">
        <v>813</v>
      </c>
      <c r="J32" s="12" t="s">
        <v>814</v>
      </c>
      <c r="K32" s="12" t="s">
        <v>452</v>
      </c>
      <c r="L32" s="12" t="s">
        <v>47</v>
      </c>
      <c r="M32" s="13">
        <v>1</v>
      </c>
      <c r="N32" s="13">
        <v>2.66</v>
      </c>
      <c r="O32" s="13">
        <v>87.24</v>
      </c>
    </row>
    <row r="33" spans="1:15" x14ac:dyDescent="0.25">
      <c r="A33" s="14" t="s">
        <v>386</v>
      </c>
      <c r="B33" s="14" t="s">
        <v>417</v>
      </c>
      <c r="C33" s="7">
        <v>45963</v>
      </c>
      <c r="D33" s="14" t="s">
        <v>21</v>
      </c>
      <c r="E33" s="14" t="s">
        <v>85</v>
      </c>
      <c r="F33" s="14" t="s">
        <v>265</v>
      </c>
      <c r="G33" s="14" t="s">
        <v>98</v>
      </c>
      <c r="H33" s="14" t="s">
        <v>25</v>
      </c>
      <c r="I33" s="14" t="s">
        <v>815</v>
      </c>
      <c r="J33" s="14" t="s">
        <v>816</v>
      </c>
      <c r="K33" s="14" t="s">
        <v>393</v>
      </c>
      <c r="L33" s="14" t="s">
        <v>68</v>
      </c>
      <c r="M33" s="15">
        <v>1</v>
      </c>
      <c r="N33" s="15">
        <v>3.68</v>
      </c>
      <c r="O33" s="15">
        <v>120.69</v>
      </c>
    </row>
    <row r="34" spans="1:15" x14ac:dyDescent="0.25">
      <c r="A34" s="14" t="s">
        <v>386</v>
      </c>
      <c r="B34" s="14" t="s">
        <v>417</v>
      </c>
      <c r="C34" s="7">
        <v>45970</v>
      </c>
      <c r="D34" s="14" t="s">
        <v>21</v>
      </c>
      <c r="E34" s="14" t="s">
        <v>85</v>
      </c>
      <c r="F34" s="14" t="s">
        <v>265</v>
      </c>
      <c r="G34" s="14" t="s">
        <v>98</v>
      </c>
      <c r="H34" s="14" t="s">
        <v>25</v>
      </c>
      <c r="I34" s="14" t="s">
        <v>817</v>
      </c>
      <c r="J34" s="14" t="s">
        <v>818</v>
      </c>
      <c r="K34" s="14" t="s">
        <v>393</v>
      </c>
      <c r="L34" s="14" t="s">
        <v>63</v>
      </c>
      <c r="M34" s="15">
        <v>1</v>
      </c>
      <c r="N34" s="15">
        <v>4.5</v>
      </c>
      <c r="O34" s="15">
        <v>147.58000000000001</v>
      </c>
    </row>
    <row r="35" spans="1:15" x14ac:dyDescent="0.25">
      <c r="A35" s="12" t="s">
        <v>386</v>
      </c>
      <c r="B35" s="12" t="s">
        <v>417</v>
      </c>
      <c r="C35" s="7">
        <v>45972</v>
      </c>
      <c r="D35" s="12" t="s">
        <v>82</v>
      </c>
      <c r="E35" s="12" t="s">
        <v>58</v>
      </c>
      <c r="F35" s="12" t="s">
        <v>265</v>
      </c>
      <c r="G35" s="12" t="s">
        <v>98</v>
      </c>
      <c r="H35" s="12" t="s">
        <v>25</v>
      </c>
      <c r="I35" s="12" t="s">
        <v>819</v>
      </c>
      <c r="J35" s="12" t="s">
        <v>820</v>
      </c>
      <c r="K35" s="12" t="s">
        <v>201</v>
      </c>
      <c r="L35" s="12" t="s">
        <v>202</v>
      </c>
      <c r="M35" s="13">
        <v>1</v>
      </c>
      <c r="N35" s="13">
        <v>3.44</v>
      </c>
      <c r="O35" s="13">
        <v>112.82</v>
      </c>
    </row>
    <row r="36" spans="1:15" x14ac:dyDescent="0.25">
      <c r="A36" s="14" t="s">
        <v>386</v>
      </c>
      <c r="B36" s="14" t="s">
        <v>417</v>
      </c>
      <c r="C36" s="7">
        <v>45977</v>
      </c>
      <c r="D36" s="14" t="s">
        <v>21</v>
      </c>
      <c r="E36" s="14" t="s">
        <v>85</v>
      </c>
      <c r="F36" s="14" t="s">
        <v>265</v>
      </c>
      <c r="G36" s="14" t="s">
        <v>98</v>
      </c>
      <c r="H36" s="14" t="s">
        <v>25</v>
      </c>
      <c r="I36" s="14" t="s">
        <v>821</v>
      </c>
      <c r="J36" s="14" t="s">
        <v>822</v>
      </c>
      <c r="K36" s="14" t="s">
        <v>393</v>
      </c>
      <c r="L36" s="14" t="s">
        <v>65</v>
      </c>
      <c r="M36" s="15">
        <v>1</v>
      </c>
      <c r="N36" s="15">
        <v>3.54</v>
      </c>
      <c r="O36" s="15">
        <v>116.1</v>
      </c>
    </row>
    <row r="37" spans="1:15" x14ac:dyDescent="0.25">
      <c r="A37" s="14" t="s">
        <v>386</v>
      </c>
      <c r="B37" s="14" t="s">
        <v>417</v>
      </c>
      <c r="C37" s="7">
        <v>45984</v>
      </c>
      <c r="D37" s="14" t="s">
        <v>21</v>
      </c>
      <c r="E37" s="14" t="s">
        <v>85</v>
      </c>
      <c r="F37" s="14" t="s">
        <v>265</v>
      </c>
      <c r="G37" s="14" t="s">
        <v>98</v>
      </c>
      <c r="H37" s="14" t="s">
        <v>25</v>
      </c>
      <c r="I37" s="14" t="s">
        <v>823</v>
      </c>
      <c r="J37" s="14" t="s">
        <v>824</v>
      </c>
      <c r="K37" s="14" t="s">
        <v>393</v>
      </c>
      <c r="L37" s="14" t="s">
        <v>68</v>
      </c>
      <c r="M37" s="15">
        <v>1</v>
      </c>
      <c r="N37" s="15">
        <v>2.88</v>
      </c>
      <c r="O37" s="15">
        <v>94.45</v>
      </c>
    </row>
    <row r="38" spans="1:15" x14ac:dyDescent="0.25">
      <c r="A38" s="14" t="s">
        <v>386</v>
      </c>
      <c r="B38" s="14" t="s">
        <v>417</v>
      </c>
      <c r="C38" s="7">
        <v>45991</v>
      </c>
      <c r="D38" s="14" t="s">
        <v>21</v>
      </c>
      <c r="E38" s="14" t="s">
        <v>85</v>
      </c>
      <c r="F38" s="14" t="s">
        <v>265</v>
      </c>
      <c r="G38" s="14" t="s">
        <v>98</v>
      </c>
      <c r="H38" s="14" t="s">
        <v>25</v>
      </c>
      <c r="I38" s="14" t="s">
        <v>825</v>
      </c>
      <c r="J38" s="14" t="s">
        <v>826</v>
      </c>
      <c r="K38" s="14" t="s">
        <v>393</v>
      </c>
      <c r="L38" s="14" t="s">
        <v>65</v>
      </c>
      <c r="M38" s="15">
        <v>1</v>
      </c>
      <c r="N38" s="15">
        <v>5.58</v>
      </c>
      <c r="O38" s="15">
        <v>183</v>
      </c>
    </row>
    <row r="39" spans="1:15" x14ac:dyDescent="0.25">
      <c r="A39" s="10" t="s">
        <v>1</v>
      </c>
      <c r="B39" s="10" t="s">
        <v>423</v>
      </c>
      <c r="C39" s="10" t="s">
        <v>1</v>
      </c>
      <c r="D39" s="10" t="s">
        <v>1</v>
      </c>
      <c r="E39" s="10" t="s">
        <v>1</v>
      </c>
      <c r="F39" s="10" t="s">
        <v>1</v>
      </c>
      <c r="G39" s="10" t="s">
        <v>1</v>
      </c>
      <c r="H39" s="10" t="s">
        <v>1</v>
      </c>
      <c r="I39" s="10" t="s">
        <v>1</v>
      </c>
      <c r="J39" s="10" t="s">
        <v>1</v>
      </c>
      <c r="K39" s="10" t="s">
        <v>1</v>
      </c>
      <c r="L39" s="10" t="s">
        <v>1</v>
      </c>
      <c r="M39" s="11">
        <v>8</v>
      </c>
      <c r="N39" s="11">
        <v>30.02</v>
      </c>
      <c r="O39" s="11">
        <v>984.54</v>
      </c>
    </row>
    <row r="40" spans="1:15" x14ac:dyDescent="0.25">
      <c r="B40" s="2" t="s">
        <v>1</v>
      </c>
    </row>
    <row r="41" spans="1:15" x14ac:dyDescent="0.25">
      <c r="B41" s="2" t="s">
        <v>424</v>
      </c>
    </row>
    <row r="42" spans="1:15" x14ac:dyDescent="0.25">
      <c r="B42" s="2" t="s">
        <v>1</v>
      </c>
    </row>
    <row r="43" spans="1:15" x14ac:dyDescent="0.25">
      <c r="A43" s="6" t="s">
        <v>4</v>
      </c>
      <c r="B43" s="6" t="s">
        <v>5</v>
      </c>
      <c r="C43" s="6" t="s">
        <v>6</v>
      </c>
      <c r="D43" s="6" t="s">
        <v>7</v>
      </c>
      <c r="E43" s="6" t="s">
        <v>8</v>
      </c>
      <c r="F43" s="6" t="s">
        <v>9</v>
      </c>
      <c r="G43" s="6" t="s">
        <v>10</v>
      </c>
      <c r="H43" s="6" t="s">
        <v>11</v>
      </c>
      <c r="I43" s="6" t="s">
        <v>12</v>
      </c>
      <c r="J43" s="6" t="s">
        <v>13</v>
      </c>
      <c r="K43" s="6" t="s">
        <v>14</v>
      </c>
      <c r="L43" s="6" t="s">
        <v>15</v>
      </c>
      <c r="M43" s="6" t="s">
        <v>16</v>
      </c>
      <c r="N43" s="6" t="s">
        <v>17</v>
      </c>
      <c r="O43" s="6" t="s">
        <v>18</v>
      </c>
    </row>
    <row r="44" spans="1:15" x14ac:dyDescent="0.25">
      <c r="A44" s="14" t="s">
        <v>386</v>
      </c>
      <c r="B44" s="14" t="s">
        <v>425</v>
      </c>
      <c r="C44" s="7">
        <v>45963</v>
      </c>
      <c r="D44" s="14" t="s">
        <v>21</v>
      </c>
      <c r="E44" s="14" t="s">
        <v>85</v>
      </c>
      <c r="F44" s="14" t="s">
        <v>265</v>
      </c>
      <c r="G44" s="14" t="s">
        <v>98</v>
      </c>
      <c r="H44" s="14" t="s">
        <v>25</v>
      </c>
      <c r="I44" s="14" t="s">
        <v>827</v>
      </c>
      <c r="J44" s="14" t="s">
        <v>828</v>
      </c>
      <c r="K44" s="14" t="s">
        <v>393</v>
      </c>
      <c r="L44" s="14" t="s">
        <v>68</v>
      </c>
      <c r="M44" s="15">
        <v>1</v>
      </c>
      <c r="N44" s="15">
        <v>3.78</v>
      </c>
      <c r="O44" s="15">
        <v>123.97</v>
      </c>
    </row>
    <row r="45" spans="1:15" x14ac:dyDescent="0.25">
      <c r="A45" s="12" t="s">
        <v>386</v>
      </c>
      <c r="B45" s="12" t="s">
        <v>425</v>
      </c>
      <c r="C45" s="7">
        <v>45972</v>
      </c>
      <c r="D45" s="12" t="s">
        <v>82</v>
      </c>
      <c r="E45" s="12" t="s">
        <v>58</v>
      </c>
      <c r="F45" s="12" t="s">
        <v>265</v>
      </c>
      <c r="G45" s="12" t="s">
        <v>98</v>
      </c>
      <c r="H45" s="12" t="s">
        <v>25</v>
      </c>
      <c r="I45" s="12" t="s">
        <v>829</v>
      </c>
      <c r="J45" s="12" t="s">
        <v>830</v>
      </c>
      <c r="K45" s="12" t="s">
        <v>403</v>
      </c>
      <c r="L45" s="12" t="s">
        <v>404</v>
      </c>
      <c r="M45" s="13">
        <v>1</v>
      </c>
      <c r="N45" s="13">
        <v>3.96</v>
      </c>
      <c r="O45" s="13">
        <v>129.87</v>
      </c>
    </row>
    <row r="46" spans="1:15" x14ac:dyDescent="0.25">
      <c r="A46" s="10" t="s">
        <v>1</v>
      </c>
      <c r="B46" s="10" t="s">
        <v>432</v>
      </c>
      <c r="C46" s="10" t="s">
        <v>1</v>
      </c>
      <c r="D46" s="10" t="s">
        <v>1</v>
      </c>
      <c r="E46" s="10" t="s">
        <v>1</v>
      </c>
      <c r="F46" s="10" t="s">
        <v>1</v>
      </c>
      <c r="G46" s="10" t="s">
        <v>1</v>
      </c>
      <c r="H46" s="10" t="s">
        <v>1</v>
      </c>
      <c r="I46" s="10" t="s">
        <v>1</v>
      </c>
      <c r="J46" s="10" t="s">
        <v>1</v>
      </c>
      <c r="K46" s="10" t="s">
        <v>1</v>
      </c>
      <c r="L46" s="10" t="s">
        <v>1</v>
      </c>
      <c r="M46" s="11">
        <v>2</v>
      </c>
      <c r="N46" s="11">
        <v>7.74</v>
      </c>
      <c r="O46" s="11">
        <v>253.84</v>
      </c>
    </row>
    <row r="47" spans="1:15" x14ac:dyDescent="0.25">
      <c r="B47" s="2" t="s">
        <v>1</v>
      </c>
    </row>
    <row r="48" spans="1:15" x14ac:dyDescent="0.25">
      <c r="B48" s="2" t="s">
        <v>433</v>
      </c>
    </row>
    <row r="49" spans="1:15" x14ac:dyDescent="0.25">
      <c r="B49" s="2" t="s">
        <v>1</v>
      </c>
    </row>
    <row r="50" spans="1:15" x14ac:dyDescent="0.25">
      <c r="A50" s="6" t="s">
        <v>4</v>
      </c>
      <c r="B50" s="6" t="s">
        <v>5</v>
      </c>
      <c r="C50" s="6" t="s">
        <v>6</v>
      </c>
      <c r="D50" s="6" t="s">
        <v>7</v>
      </c>
      <c r="E50" s="6" t="s">
        <v>8</v>
      </c>
      <c r="F50" s="6" t="s">
        <v>9</v>
      </c>
      <c r="G50" s="6" t="s">
        <v>10</v>
      </c>
      <c r="H50" s="6" t="s">
        <v>11</v>
      </c>
      <c r="I50" s="6" t="s">
        <v>12</v>
      </c>
      <c r="J50" s="6" t="s">
        <v>13</v>
      </c>
      <c r="K50" s="6" t="s">
        <v>14</v>
      </c>
      <c r="L50" s="6" t="s">
        <v>15</v>
      </c>
      <c r="M50" s="6" t="s">
        <v>16</v>
      </c>
      <c r="N50" s="6" t="s">
        <v>17</v>
      </c>
      <c r="O50" s="6" t="s">
        <v>18</v>
      </c>
    </row>
    <row r="51" spans="1:15" x14ac:dyDescent="0.25">
      <c r="A51" s="12" t="s">
        <v>386</v>
      </c>
      <c r="B51" s="12" t="s">
        <v>434</v>
      </c>
      <c r="C51" s="7">
        <v>45962</v>
      </c>
      <c r="D51" s="12" t="s">
        <v>82</v>
      </c>
      <c r="E51" s="12" t="s">
        <v>22</v>
      </c>
      <c r="F51" s="12" t="s">
        <v>265</v>
      </c>
      <c r="G51" s="12" t="s">
        <v>98</v>
      </c>
      <c r="H51" s="12" t="s">
        <v>25</v>
      </c>
      <c r="I51" s="12" t="s">
        <v>831</v>
      </c>
      <c r="J51" s="12" t="s">
        <v>832</v>
      </c>
      <c r="K51" s="12" t="s">
        <v>390</v>
      </c>
      <c r="L51" s="12" t="s">
        <v>63</v>
      </c>
      <c r="M51" s="13">
        <v>1</v>
      </c>
      <c r="N51" s="13">
        <v>2.68</v>
      </c>
      <c r="O51" s="13">
        <v>87.89</v>
      </c>
    </row>
    <row r="52" spans="1:15" x14ac:dyDescent="0.25">
      <c r="A52" s="14" t="s">
        <v>386</v>
      </c>
      <c r="B52" s="14" t="s">
        <v>434</v>
      </c>
      <c r="C52" s="7">
        <v>45970</v>
      </c>
      <c r="D52" s="14" t="s">
        <v>21</v>
      </c>
      <c r="E52" s="14" t="s">
        <v>85</v>
      </c>
      <c r="F52" s="14" t="s">
        <v>265</v>
      </c>
      <c r="G52" s="14" t="s">
        <v>98</v>
      </c>
      <c r="H52" s="14" t="s">
        <v>25</v>
      </c>
      <c r="I52" s="14" t="s">
        <v>833</v>
      </c>
      <c r="J52" s="14" t="s">
        <v>834</v>
      </c>
      <c r="K52" s="14" t="s">
        <v>105</v>
      </c>
      <c r="L52" s="14" t="s">
        <v>106</v>
      </c>
      <c r="M52" s="15">
        <v>1</v>
      </c>
      <c r="N52" s="15">
        <v>4.28</v>
      </c>
      <c r="O52" s="15">
        <v>140.37</v>
      </c>
    </row>
    <row r="53" spans="1:15" x14ac:dyDescent="0.25">
      <c r="A53" s="12" t="s">
        <v>386</v>
      </c>
      <c r="B53" s="12" t="s">
        <v>434</v>
      </c>
      <c r="C53" s="7">
        <v>45972</v>
      </c>
      <c r="D53" s="12" t="s">
        <v>82</v>
      </c>
      <c r="E53" s="12" t="s">
        <v>58</v>
      </c>
      <c r="F53" s="12" t="s">
        <v>265</v>
      </c>
      <c r="G53" s="12" t="s">
        <v>98</v>
      </c>
      <c r="H53" s="12" t="s">
        <v>25</v>
      </c>
      <c r="I53" s="12" t="s">
        <v>835</v>
      </c>
      <c r="J53" s="12" t="s">
        <v>836</v>
      </c>
      <c r="K53" s="12" t="s">
        <v>403</v>
      </c>
      <c r="L53" s="12" t="s">
        <v>404</v>
      </c>
      <c r="M53" s="13">
        <v>1</v>
      </c>
      <c r="N53" s="13">
        <v>4.9000000000000004</v>
      </c>
      <c r="O53" s="13">
        <v>160.69999999999999</v>
      </c>
    </row>
    <row r="54" spans="1:15" x14ac:dyDescent="0.25">
      <c r="A54" s="10" t="s">
        <v>1</v>
      </c>
      <c r="B54" s="10" t="s">
        <v>442</v>
      </c>
      <c r="C54" s="10" t="s">
        <v>1</v>
      </c>
      <c r="D54" s="10" t="s">
        <v>1</v>
      </c>
      <c r="E54" s="10" t="s">
        <v>1</v>
      </c>
      <c r="F54" s="10" t="s">
        <v>1</v>
      </c>
      <c r="G54" s="10" t="s">
        <v>1</v>
      </c>
      <c r="H54" s="10" t="s">
        <v>1</v>
      </c>
      <c r="I54" s="10" t="s">
        <v>1</v>
      </c>
      <c r="J54" s="10" t="s">
        <v>1</v>
      </c>
      <c r="K54" s="10" t="s">
        <v>1</v>
      </c>
      <c r="L54" s="10" t="s">
        <v>1</v>
      </c>
      <c r="M54" s="11">
        <v>3</v>
      </c>
      <c r="N54" s="11">
        <v>11.86</v>
      </c>
      <c r="O54" s="11">
        <v>388.96</v>
      </c>
    </row>
    <row r="55" spans="1:15" x14ac:dyDescent="0.25">
      <c r="A55" s="5" t="s">
        <v>1</v>
      </c>
      <c r="B55" s="5" t="s">
        <v>276</v>
      </c>
      <c r="C55" s="5" t="s">
        <v>1</v>
      </c>
      <c r="D55" s="5" t="s">
        <v>1</v>
      </c>
      <c r="E55" s="5" t="s">
        <v>1</v>
      </c>
      <c r="F55" s="5" t="s">
        <v>1</v>
      </c>
      <c r="G55" s="5" t="s">
        <v>1</v>
      </c>
      <c r="H55" s="5" t="s">
        <v>1</v>
      </c>
      <c r="I55" s="5" t="s">
        <v>1</v>
      </c>
      <c r="J55" s="5" t="s">
        <v>1</v>
      </c>
      <c r="K55" s="5" t="s">
        <v>1</v>
      </c>
      <c r="L55" s="5" t="s">
        <v>1</v>
      </c>
      <c r="M55" s="8">
        <v>21</v>
      </c>
      <c r="N55" s="9">
        <v>83.3</v>
      </c>
      <c r="O55" s="8">
        <v>2731.93</v>
      </c>
    </row>
    <row r="56" spans="1:15" x14ac:dyDescent="0.25">
      <c r="B56" s="2" t="s">
        <v>1</v>
      </c>
    </row>
    <row r="57" spans="1:15" x14ac:dyDescent="0.25">
      <c r="B57" s="2" t="s">
        <v>443</v>
      </c>
    </row>
    <row r="58" spans="1:15" x14ac:dyDescent="0.25">
      <c r="B58" s="2" t="s">
        <v>1</v>
      </c>
    </row>
    <row r="59" spans="1:15" x14ac:dyDescent="0.25">
      <c r="A59" s="6" t="s">
        <v>4</v>
      </c>
      <c r="B59" s="6" t="s">
        <v>5</v>
      </c>
      <c r="C59" s="6" t="s">
        <v>6</v>
      </c>
      <c r="D59" s="6" t="s">
        <v>7</v>
      </c>
      <c r="E59" s="6" t="s">
        <v>8</v>
      </c>
      <c r="F59" s="6" t="s">
        <v>9</v>
      </c>
      <c r="G59" s="6" t="s">
        <v>10</v>
      </c>
      <c r="H59" s="6" t="s">
        <v>11</v>
      </c>
      <c r="I59" s="6" t="s">
        <v>12</v>
      </c>
      <c r="J59" s="6" t="s">
        <v>13</v>
      </c>
      <c r="K59" s="6" t="s">
        <v>14</v>
      </c>
      <c r="L59" s="6" t="s">
        <v>15</v>
      </c>
      <c r="M59" s="6" t="s">
        <v>16</v>
      </c>
      <c r="N59" s="6" t="s">
        <v>17</v>
      </c>
      <c r="O59" s="6" t="s">
        <v>18</v>
      </c>
    </row>
    <row r="60" spans="1:15" x14ac:dyDescent="0.25">
      <c r="A60" s="12" t="s">
        <v>386</v>
      </c>
      <c r="B60" s="12" t="s">
        <v>444</v>
      </c>
      <c r="C60" s="7">
        <v>45962</v>
      </c>
      <c r="D60" s="12" t="s">
        <v>82</v>
      </c>
      <c r="E60" s="12" t="s">
        <v>22</v>
      </c>
      <c r="F60" s="12" t="s">
        <v>265</v>
      </c>
      <c r="G60" s="12" t="s">
        <v>98</v>
      </c>
      <c r="H60" s="12" t="s">
        <v>123</v>
      </c>
      <c r="I60" s="12" t="s">
        <v>837</v>
      </c>
      <c r="J60" s="12" t="s">
        <v>838</v>
      </c>
      <c r="K60" s="12" t="s">
        <v>71</v>
      </c>
      <c r="L60" s="12" t="s">
        <v>63</v>
      </c>
      <c r="M60" s="13">
        <v>1</v>
      </c>
      <c r="N60" s="13">
        <v>7.78</v>
      </c>
      <c r="O60" s="13">
        <v>201</v>
      </c>
    </row>
    <row r="61" spans="1:15" x14ac:dyDescent="0.25">
      <c r="A61" s="10" t="s">
        <v>1</v>
      </c>
      <c r="B61" s="10" t="s">
        <v>622</v>
      </c>
      <c r="C61" s="10" t="s">
        <v>1</v>
      </c>
      <c r="D61" s="10" t="s">
        <v>1</v>
      </c>
      <c r="E61" s="10" t="s">
        <v>1</v>
      </c>
      <c r="F61" s="10" t="s">
        <v>1</v>
      </c>
      <c r="G61" s="10" t="s">
        <v>1</v>
      </c>
      <c r="H61" s="10" t="s">
        <v>1</v>
      </c>
      <c r="I61" s="10" t="s">
        <v>1</v>
      </c>
      <c r="J61" s="10" t="s">
        <v>1</v>
      </c>
      <c r="K61" s="10" t="s">
        <v>1</v>
      </c>
      <c r="L61" s="10" t="s">
        <v>1</v>
      </c>
      <c r="M61" s="11">
        <v>1</v>
      </c>
      <c r="N61" s="11">
        <v>7.78</v>
      </c>
      <c r="O61" s="11">
        <v>201</v>
      </c>
    </row>
    <row r="62" spans="1:15" x14ac:dyDescent="0.25">
      <c r="A62" s="5" t="s">
        <v>1</v>
      </c>
      <c r="B62" s="5" t="s">
        <v>623</v>
      </c>
      <c r="C62" s="5" t="s">
        <v>1</v>
      </c>
      <c r="D62" s="5" t="s">
        <v>1</v>
      </c>
      <c r="E62" s="5" t="s">
        <v>1</v>
      </c>
      <c r="F62" s="5" t="s">
        <v>1</v>
      </c>
      <c r="G62" s="5" t="s">
        <v>1</v>
      </c>
      <c r="H62" s="5" t="s">
        <v>1</v>
      </c>
      <c r="I62" s="5" t="s">
        <v>1</v>
      </c>
      <c r="J62" s="5" t="s">
        <v>1</v>
      </c>
      <c r="K62" s="5" t="s">
        <v>1</v>
      </c>
      <c r="L62" s="5" t="s">
        <v>1</v>
      </c>
      <c r="M62" s="5">
        <v>1</v>
      </c>
      <c r="N62" s="5">
        <v>7.78</v>
      </c>
      <c r="O62" s="5">
        <v>201</v>
      </c>
    </row>
    <row r="63" spans="1:15" x14ac:dyDescent="0.25">
      <c r="A63" s="10" t="s">
        <v>1</v>
      </c>
      <c r="B63" s="10" t="s">
        <v>839</v>
      </c>
      <c r="C63" s="10" t="s">
        <v>1</v>
      </c>
      <c r="D63" s="10" t="s">
        <v>1</v>
      </c>
      <c r="E63" s="10" t="s">
        <v>1</v>
      </c>
      <c r="F63" s="10" t="s">
        <v>1</v>
      </c>
      <c r="G63" s="10" t="s">
        <v>1</v>
      </c>
      <c r="H63" s="10" t="s">
        <v>1</v>
      </c>
      <c r="I63" s="10" t="s">
        <v>1</v>
      </c>
      <c r="J63" s="10" t="s">
        <v>1</v>
      </c>
      <c r="K63" s="10" t="s">
        <v>1</v>
      </c>
      <c r="L63" s="10" t="s">
        <v>1</v>
      </c>
      <c r="M63" s="11">
        <v>22</v>
      </c>
      <c r="N63" s="11">
        <v>91.08</v>
      </c>
      <c r="O63" s="11">
        <v>2932.93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O121"/>
  <sheetViews>
    <sheetView topLeftCell="A100" workbookViewId="0"/>
  </sheetViews>
  <sheetFormatPr baseColWidth="10" defaultColWidth="9.140625" defaultRowHeight="15" x14ac:dyDescent="0.25"/>
  <cols>
    <col min="1" max="1" width="25.7109375" bestFit="1" customWidth="1"/>
    <col min="2" max="2" width="60.85546875" bestFit="1" customWidth="1"/>
    <col min="3" max="3" width="9.28515625" bestFit="1" customWidth="1"/>
    <col min="4" max="4" width="6" bestFit="1" customWidth="1"/>
    <col min="5" max="5" width="7.5703125" bestFit="1" customWidth="1"/>
    <col min="6" max="6" width="22.42578125" bestFit="1" customWidth="1"/>
    <col min="7" max="7" width="9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625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626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444</v>
      </c>
      <c r="C13" s="4">
        <v>45965</v>
      </c>
      <c r="D13" s="3" t="s">
        <v>21</v>
      </c>
      <c r="E13" s="3" t="s">
        <v>58</v>
      </c>
      <c r="F13" s="3" t="s">
        <v>220</v>
      </c>
      <c r="G13" s="3" t="s">
        <v>98</v>
      </c>
      <c r="H13" s="3" t="s">
        <v>25</v>
      </c>
      <c r="I13" s="3" t="s">
        <v>627</v>
      </c>
      <c r="J13" s="3" t="s">
        <v>628</v>
      </c>
      <c r="K13" s="3" t="s">
        <v>105</v>
      </c>
      <c r="L13" s="3" t="s">
        <v>106</v>
      </c>
      <c r="M13" s="8">
        <v>1</v>
      </c>
      <c r="N13" s="9">
        <v>2.62</v>
      </c>
      <c r="O13" s="8">
        <v>113.27</v>
      </c>
    </row>
    <row r="14" spans="1:15" x14ac:dyDescent="0.25">
      <c r="A14" s="3" t="s">
        <v>386</v>
      </c>
      <c r="B14" s="3" t="s">
        <v>444</v>
      </c>
      <c r="C14" s="4">
        <v>45967</v>
      </c>
      <c r="D14" s="3" t="s">
        <v>21</v>
      </c>
      <c r="E14" s="3" t="s">
        <v>30</v>
      </c>
      <c r="F14" s="3" t="s">
        <v>220</v>
      </c>
      <c r="G14" s="3" t="s">
        <v>98</v>
      </c>
      <c r="H14" s="3" t="s">
        <v>25</v>
      </c>
      <c r="I14" s="3" t="s">
        <v>629</v>
      </c>
      <c r="J14" s="3" t="s">
        <v>630</v>
      </c>
      <c r="K14" s="3" t="s">
        <v>390</v>
      </c>
      <c r="L14" s="3" t="s">
        <v>63</v>
      </c>
      <c r="M14" s="8">
        <v>1</v>
      </c>
      <c r="N14" s="9">
        <v>3.56</v>
      </c>
      <c r="O14" s="8">
        <v>153.91</v>
      </c>
    </row>
    <row r="15" spans="1:15" x14ac:dyDescent="0.25">
      <c r="A15" s="3" t="s">
        <v>386</v>
      </c>
      <c r="B15" s="3" t="s">
        <v>444</v>
      </c>
      <c r="C15" s="4">
        <v>45969</v>
      </c>
      <c r="D15" s="3" t="s">
        <v>21</v>
      </c>
      <c r="E15" s="3" t="s">
        <v>22</v>
      </c>
      <c r="F15" s="3" t="s">
        <v>220</v>
      </c>
      <c r="G15" s="3" t="s">
        <v>98</v>
      </c>
      <c r="H15" s="3" t="s">
        <v>25</v>
      </c>
      <c r="I15" s="3" t="s">
        <v>631</v>
      </c>
      <c r="J15" s="3" t="s">
        <v>632</v>
      </c>
      <c r="K15" s="3" t="s">
        <v>91</v>
      </c>
      <c r="L15" s="3" t="s">
        <v>92</v>
      </c>
      <c r="M15" s="8">
        <v>1</v>
      </c>
      <c r="N15" s="9">
        <v>2.52</v>
      </c>
      <c r="O15" s="8">
        <v>108.95</v>
      </c>
    </row>
    <row r="16" spans="1:15" x14ac:dyDescent="0.25">
      <c r="A16" s="3" t="s">
        <v>386</v>
      </c>
      <c r="B16" s="3" t="s">
        <v>444</v>
      </c>
      <c r="C16" s="4">
        <v>45973</v>
      </c>
      <c r="D16" s="3" t="s">
        <v>21</v>
      </c>
      <c r="E16" s="3" t="s">
        <v>35</v>
      </c>
      <c r="F16" s="3" t="s">
        <v>220</v>
      </c>
      <c r="G16" s="3" t="s">
        <v>98</v>
      </c>
      <c r="H16" s="3" t="s">
        <v>25</v>
      </c>
      <c r="I16" s="3" t="s">
        <v>633</v>
      </c>
      <c r="J16" s="3" t="s">
        <v>634</v>
      </c>
      <c r="K16" s="3" t="s">
        <v>390</v>
      </c>
      <c r="L16" s="3" t="s">
        <v>63</v>
      </c>
      <c r="M16" s="8">
        <v>1</v>
      </c>
      <c r="N16" s="9">
        <v>3.46</v>
      </c>
      <c r="O16" s="8">
        <v>149.59</v>
      </c>
    </row>
    <row r="17" spans="1:15" x14ac:dyDescent="0.25">
      <c r="A17" s="3" t="s">
        <v>386</v>
      </c>
      <c r="B17" s="3" t="s">
        <v>444</v>
      </c>
      <c r="C17" s="4">
        <v>45974</v>
      </c>
      <c r="D17" s="3" t="s">
        <v>21</v>
      </c>
      <c r="E17" s="3" t="s">
        <v>30</v>
      </c>
      <c r="F17" s="3" t="s">
        <v>220</v>
      </c>
      <c r="G17" s="3" t="s">
        <v>98</v>
      </c>
      <c r="H17" s="3" t="s">
        <v>25</v>
      </c>
      <c r="I17" s="3" t="s">
        <v>635</v>
      </c>
      <c r="J17" s="3" t="s">
        <v>636</v>
      </c>
      <c r="K17" s="3" t="s">
        <v>390</v>
      </c>
      <c r="L17" s="3" t="s">
        <v>63</v>
      </c>
      <c r="M17" s="8">
        <v>1</v>
      </c>
      <c r="N17" s="9">
        <v>2.84</v>
      </c>
      <c r="O17" s="8">
        <v>122.78</v>
      </c>
    </row>
    <row r="18" spans="1:15" x14ac:dyDescent="0.25">
      <c r="A18" s="3" t="s">
        <v>386</v>
      </c>
      <c r="B18" s="3" t="s">
        <v>444</v>
      </c>
      <c r="C18" s="4">
        <v>45976</v>
      </c>
      <c r="D18" s="3" t="s">
        <v>21</v>
      </c>
      <c r="E18" s="3" t="s">
        <v>22</v>
      </c>
      <c r="F18" s="3" t="s">
        <v>220</v>
      </c>
      <c r="G18" s="3" t="s">
        <v>98</v>
      </c>
      <c r="H18" s="3" t="s">
        <v>25</v>
      </c>
      <c r="I18" s="3" t="s">
        <v>637</v>
      </c>
      <c r="J18" s="3" t="s">
        <v>638</v>
      </c>
      <c r="K18" s="3" t="s">
        <v>71</v>
      </c>
      <c r="L18" s="3" t="s">
        <v>63</v>
      </c>
      <c r="M18" s="8">
        <v>1</v>
      </c>
      <c r="N18" s="9">
        <v>2.56</v>
      </c>
      <c r="O18" s="8">
        <v>110.68</v>
      </c>
    </row>
    <row r="19" spans="1:15" x14ac:dyDescent="0.25">
      <c r="A19" s="3" t="s">
        <v>386</v>
      </c>
      <c r="B19" s="3" t="s">
        <v>444</v>
      </c>
      <c r="C19" s="4">
        <v>45979</v>
      </c>
      <c r="D19" s="3" t="s">
        <v>21</v>
      </c>
      <c r="E19" s="3" t="s">
        <v>58</v>
      </c>
      <c r="F19" s="3" t="s">
        <v>220</v>
      </c>
      <c r="G19" s="3" t="s">
        <v>98</v>
      </c>
      <c r="H19" s="3" t="s">
        <v>25</v>
      </c>
      <c r="I19" s="3" t="s">
        <v>639</v>
      </c>
      <c r="J19" s="3" t="s">
        <v>640</v>
      </c>
      <c r="K19" s="3" t="s">
        <v>105</v>
      </c>
      <c r="L19" s="3" t="s">
        <v>106</v>
      </c>
      <c r="M19" s="8">
        <v>1</v>
      </c>
      <c r="N19" s="9">
        <v>3.24</v>
      </c>
      <c r="O19" s="8">
        <v>140.07</v>
      </c>
    </row>
    <row r="20" spans="1:15" x14ac:dyDescent="0.25">
      <c r="A20" s="3" t="s">
        <v>386</v>
      </c>
      <c r="B20" s="3" t="s">
        <v>444</v>
      </c>
      <c r="C20" s="4">
        <v>45981</v>
      </c>
      <c r="D20" s="3" t="s">
        <v>21</v>
      </c>
      <c r="E20" s="3" t="s">
        <v>30</v>
      </c>
      <c r="F20" s="3" t="s">
        <v>220</v>
      </c>
      <c r="G20" s="3" t="s">
        <v>98</v>
      </c>
      <c r="H20" s="3" t="s">
        <v>25</v>
      </c>
      <c r="I20" s="3" t="s">
        <v>641</v>
      </c>
      <c r="J20" s="3" t="s">
        <v>642</v>
      </c>
      <c r="K20" s="3" t="s">
        <v>403</v>
      </c>
      <c r="L20" s="3" t="s">
        <v>404</v>
      </c>
      <c r="M20" s="8">
        <v>1</v>
      </c>
      <c r="N20" s="9">
        <v>3.74</v>
      </c>
      <c r="O20" s="8">
        <v>161.69</v>
      </c>
    </row>
    <row r="21" spans="1:15" x14ac:dyDescent="0.25">
      <c r="A21" s="3" t="s">
        <v>386</v>
      </c>
      <c r="B21" s="3" t="s">
        <v>444</v>
      </c>
      <c r="C21" s="4">
        <v>45982</v>
      </c>
      <c r="D21" s="3" t="s">
        <v>21</v>
      </c>
      <c r="E21" s="3" t="s">
        <v>44</v>
      </c>
      <c r="F21" s="3" t="s">
        <v>220</v>
      </c>
      <c r="G21" s="3" t="s">
        <v>98</v>
      </c>
      <c r="H21" s="3" t="s">
        <v>25</v>
      </c>
      <c r="I21" s="3" t="s">
        <v>643</v>
      </c>
      <c r="J21" s="3" t="s">
        <v>644</v>
      </c>
      <c r="K21" s="3" t="s">
        <v>390</v>
      </c>
      <c r="L21" s="3" t="s">
        <v>47</v>
      </c>
      <c r="M21" s="8">
        <v>1</v>
      </c>
      <c r="N21" s="9">
        <v>3.48</v>
      </c>
      <c r="O21" s="8">
        <v>150.44999999999999</v>
      </c>
    </row>
    <row r="22" spans="1:15" x14ac:dyDescent="0.25">
      <c r="A22" s="3" t="s">
        <v>386</v>
      </c>
      <c r="B22" s="3" t="s">
        <v>444</v>
      </c>
      <c r="C22" s="4">
        <v>45985</v>
      </c>
      <c r="D22" s="3" t="s">
        <v>21</v>
      </c>
      <c r="E22" s="3" t="s">
        <v>38</v>
      </c>
      <c r="F22" s="3" t="s">
        <v>220</v>
      </c>
      <c r="G22" s="3" t="s">
        <v>98</v>
      </c>
      <c r="H22" s="3" t="s">
        <v>25</v>
      </c>
      <c r="I22" s="3" t="s">
        <v>645</v>
      </c>
      <c r="J22" s="3" t="s">
        <v>646</v>
      </c>
      <c r="K22" s="3" t="s">
        <v>393</v>
      </c>
      <c r="L22" s="3" t="s">
        <v>65</v>
      </c>
      <c r="M22" s="8">
        <v>1</v>
      </c>
      <c r="N22" s="9">
        <v>2.56</v>
      </c>
      <c r="O22" s="8">
        <v>110.68</v>
      </c>
    </row>
    <row r="23" spans="1:15" x14ac:dyDescent="0.25">
      <c r="A23" s="10" t="s">
        <v>1</v>
      </c>
      <c r="B23" s="10" t="s">
        <v>647</v>
      </c>
      <c r="C23" s="10" t="s">
        <v>1</v>
      </c>
      <c r="D23" s="10" t="s">
        <v>1</v>
      </c>
      <c r="E23" s="10" t="s">
        <v>1</v>
      </c>
      <c r="F23" s="10" t="s">
        <v>1</v>
      </c>
      <c r="G23" s="10" t="s">
        <v>1</v>
      </c>
      <c r="H23" s="10" t="s">
        <v>1</v>
      </c>
      <c r="I23" s="10" t="s">
        <v>1</v>
      </c>
      <c r="J23" s="10" t="s">
        <v>1</v>
      </c>
      <c r="K23" s="10" t="s">
        <v>1</v>
      </c>
      <c r="L23" s="10" t="s">
        <v>1</v>
      </c>
      <c r="M23" s="11">
        <v>10</v>
      </c>
      <c r="N23" s="11">
        <v>30.58</v>
      </c>
      <c r="O23" s="11">
        <v>1322.06</v>
      </c>
    </row>
    <row r="24" spans="1:15" x14ac:dyDescent="0.25">
      <c r="B24" s="2" t="s">
        <v>1</v>
      </c>
    </row>
    <row r="25" spans="1:15" x14ac:dyDescent="0.25">
      <c r="B25" s="2" t="s">
        <v>385</v>
      </c>
    </row>
    <row r="26" spans="1:15" x14ac:dyDescent="0.25">
      <c r="B26" s="2" t="s">
        <v>1</v>
      </c>
    </row>
    <row r="27" spans="1:15" x14ac:dyDescent="0.25">
      <c r="A27" s="6" t="s">
        <v>4</v>
      </c>
      <c r="B27" s="6" t="s">
        <v>5</v>
      </c>
      <c r="C27" s="6" t="s">
        <v>6</v>
      </c>
      <c r="D27" s="6" t="s">
        <v>7</v>
      </c>
      <c r="E27" s="6" t="s">
        <v>8</v>
      </c>
      <c r="F27" s="6" t="s">
        <v>9</v>
      </c>
      <c r="G27" s="6" t="s">
        <v>10</v>
      </c>
      <c r="H27" s="6" t="s">
        <v>11</v>
      </c>
      <c r="I27" s="6" t="s">
        <v>12</v>
      </c>
      <c r="J27" s="6" t="s">
        <v>13</v>
      </c>
      <c r="K27" s="6" t="s">
        <v>14</v>
      </c>
      <c r="L27" s="6" t="s">
        <v>15</v>
      </c>
      <c r="M27" s="6" t="s">
        <v>16</v>
      </c>
      <c r="N27" s="6" t="s">
        <v>17</v>
      </c>
      <c r="O27" s="6" t="s">
        <v>18</v>
      </c>
    </row>
    <row r="28" spans="1:15" x14ac:dyDescent="0.25">
      <c r="A28" s="3" t="s">
        <v>386</v>
      </c>
      <c r="B28" s="3" t="s">
        <v>387</v>
      </c>
      <c r="C28" s="4">
        <v>45964</v>
      </c>
      <c r="D28" s="3" t="s">
        <v>21</v>
      </c>
      <c r="E28" s="3" t="s">
        <v>38</v>
      </c>
      <c r="F28" s="3" t="s">
        <v>220</v>
      </c>
      <c r="G28" s="3" t="s">
        <v>98</v>
      </c>
      <c r="H28" s="3" t="s">
        <v>25</v>
      </c>
      <c r="I28" s="3" t="s">
        <v>648</v>
      </c>
      <c r="J28" s="3" t="s">
        <v>649</v>
      </c>
      <c r="K28" s="3" t="s">
        <v>403</v>
      </c>
      <c r="L28" s="3" t="s">
        <v>404</v>
      </c>
      <c r="M28" s="8">
        <v>1</v>
      </c>
      <c r="N28" s="9">
        <v>3.34</v>
      </c>
      <c r="O28" s="8">
        <v>144.4</v>
      </c>
    </row>
    <row r="29" spans="1:15" x14ac:dyDescent="0.25">
      <c r="A29" s="3" t="s">
        <v>386</v>
      </c>
      <c r="B29" s="3" t="s">
        <v>387</v>
      </c>
      <c r="C29" s="4">
        <v>45969</v>
      </c>
      <c r="D29" s="3" t="s">
        <v>21</v>
      </c>
      <c r="E29" s="3" t="s">
        <v>22</v>
      </c>
      <c r="F29" s="3" t="s">
        <v>220</v>
      </c>
      <c r="G29" s="3" t="s">
        <v>98</v>
      </c>
      <c r="H29" s="3" t="s">
        <v>25</v>
      </c>
      <c r="I29" s="3" t="s">
        <v>650</v>
      </c>
      <c r="J29" s="3" t="s">
        <v>651</v>
      </c>
      <c r="K29" s="3" t="s">
        <v>390</v>
      </c>
      <c r="L29" s="3" t="s">
        <v>47</v>
      </c>
      <c r="M29" s="8">
        <v>1</v>
      </c>
      <c r="N29" s="9">
        <v>3.88</v>
      </c>
      <c r="O29" s="8">
        <v>167.74</v>
      </c>
    </row>
    <row r="30" spans="1:15" x14ac:dyDescent="0.25">
      <c r="A30" s="3" t="s">
        <v>386</v>
      </c>
      <c r="B30" s="3" t="s">
        <v>387</v>
      </c>
      <c r="C30" s="4">
        <v>45971</v>
      </c>
      <c r="D30" s="3" t="s">
        <v>21</v>
      </c>
      <c r="E30" s="3" t="s">
        <v>38</v>
      </c>
      <c r="F30" s="3" t="s">
        <v>220</v>
      </c>
      <c r="G30" s="3" t="s">
        <v>98</v>
      </c>
      <c r="H30" s="3" t="s">
        <v>25</v>
      </c>
      <c r="I30" s="3" t="s">
        <v>652</v>
      </c>
      <c r="J30" s="3" t="s">
        <v>653</v>
      </c>
      <c r="K30" s="3" t="s">
        <v>91</v>
      </c>
      <c r="L30" s="3" t="s">
        <v>92</v>
      </c>
      <c r="M30" s="8">
        <v>1</v>
      </c>
      <c r="N30" s="9">
        <v>4.3600000000000003</v>
      </c>
      <c r="O30" s="8">
        <v>188.49</v>
      </c>
    </row>
    <row r="31" spans="1:15" x14ac:dyDescent="0.25">
      <c r="A31" s="3" t="s">
        <v>386</v>
      </c>
      <c r="B31" s="3" t="s">
        <v>387</v>
      </c>
      <c r="C31" s="4">
        <v>45971</v>
      </c>
      <c r="D31" s="3" t="s">
        <v>21</v>
      </c>
      <c r="E31" s="3" t="s">
        <v>38</v>
      </c>
      <c r="F31" s="3" t="s">
        <v>220</v>
      </c>
      <c r="G31" s="3" t="s">
        <v>98</v>
      </c>
      <c r="H31" s="3" t="s">
        <v>25</v>
      </c>
      <c r="I31" s="3" t="s">
        <v>654</v>
      </c>
      <c r="J31" s="3" t="s">
        <v>655</v>
      </c>
      <c r="K31" s="3" t="s">
        <v>393</v>
      </c>
      <c r="L31" s="3" t="s">
        <v>34</v>
      </c>
      <c r="M31" s="8">
        <v>1</v>
      </c>
      <c r="N31" s="9">
        <v>3.52</v>
      </c>
      <c r="O31" s="8">
        <v>152.18</v>
      </c>
    </row>
    <row r="32" spans="1:15" x14ac:dyDescent="0.25">
      <c r="A32" s="3" t="s">
        <v>386</v>
      </c>
      <c r="B32" s="3" t="s">
        <v>387</v>
      </c>
      <c r="C32" s="4">
        <v>45976</v>
      </c>
      <c r="D32" s="3" t="s">
        <v>21</v>
      </c>
      <c r="E32" s="3" t="s">
        <v>22</v>
      </c>
      <c r="F32" s="3" t="s">
        <v>220</v>
      </c>
      <c r="G32" s="3" t="s">
        <v>98</v>
      </c>
      <c r="H32" s="3" t="s">
        <v>25</v>
      </c>
      <c r="I32" s="3" t="s">
        <v>656</v>
      </c>
      <c r="J32" s="3" t="s">
        <v>657</v>
      </c>
      <c r="K32" s="3" t="s">
        <v>71</v>
      </c>
      <c r="L32" s="3" t="s">
        <v>63</v>
      </c>
      <c r="M32" s="8">
        <v>1</v>
      </c>
      <c r="N32" s="9">
        <v>2.8</v>
      </c>
      <c r="O32" s="8">
        <v>121.05</v>
      </c>
    </row>
    <row r="33" spans="1:15" x14ac:dyDescent="0.25">
      <c r="A33" s="3" t="s">
        <v>386</v>
      </c>
      <c r="B33" s="3" t="s">
        <v>387</v>
      </c>
      <c r="C33" s="4">
        <v>45978</v>
      </c>
      <c r="D33" s="3" t="s">
        <v>21</v>
      </c>
      <c r="E33" s="3" t="s">
        <v>38</v>
      </c>
      <c r="F33" s="3" t="s">
        <v>220</v>
      </c>
      <c r="G33" s="3" t="s">
        <v>98</v>
      </c>
      <c r="H33" s="3" t="s">
        <v>25</v>
      </c>
      <c r="I33" s="3" t="s">
        <v>658</v>
      </c>
      <c r="J33" s="3" t="s">
        <v>659</v>
      </c>
      <c r="K33" s="3" t="s">
        <v>393</v>
      </c>
      <c r="L33" s="3" t="s">
        <v>68</v>
      </c>
      <c r="M33" s="8">
        <v>1</v>
      </c>
      <c r="N33" s="9">
        <v>4.7</v>
      </c>
      <c r="O33" s="8">
        <v>203.19</v>
      </c>
    </row>
    <row r="34" spans="1:15" x14ac:dyDescent="0.25">
      <c r="A34" s="3" t="s">
        <v>386</v>
      </c>
      <c r="B34" s="3" t="s">
        <v>387</v>
      </c>
      <c r="C34" s="4">
        <v>45981</v>
      </c>
      <c r="D34" s="3" t="s">
        <v>21</v>
      </c>
      <c r="E34" s="3" t="s">
        <v>30</v>
      </c>
      <c r="F34" s="3" t="s">
        <v>220</v>
      </c>
      <c r="G34" s="3" t="s">
        <v>98</v>
      </c>
      <c r="H34" s="3" t="s">
        <v>25</v>
      </c>
      <c r="I34" s="3" t="s">
        <v>660</v>
      </c>
      <c r="J34" s="3" t="s">
        <v>661</v>
      </c>
      <c r="K34" s="3" t="s">
        <v>390</v>
      </c>
      <c r="L34" s="3" t="s">
        <v>47</v>
      </c>
      <c r="M34" s="8">
        <v>1</v>
      </c>
      <c r="N34" s="9">
        <v>3.52</v>
      </c>
      <c r="O34" s="8">
        <v>152.18</v>
      </c>
    </row>
    <row r="35" spans="1:15" x14ac:dyDescent="0.25">
      <c r="A35" s="3" t="s">
        <v>386</v>
      </c>
      <c r="B35" s="3" t="s">
        <v>387</v>
      </c>
      <c r="C35" s="4">
        <v>45985</v>
      </c>
      <c r="D35" s="3" t="s">
        <v>21</v>
      </c>
      <c r="E35" s="3" t="s">
        <v>38</v>
      </c>
      <c r="F35" s="3" t="s">
        <v>220</v>
      </c>
      <c r="G35" s="3" t="s">
        <v>98</v>
      </c>
      <c r="H35" s="3" t="s">
        <v>25</v>
      </c>
      <c r="I35" s="3" t="s">
        <v>662</v>
      </c>
      <c r="J35" s="3" t="s">
        <v>663</v>
      </c>
      <c r="K35" s="3" t="s">
        <v>187</v>
      </c>
      <c r="L35" s="3" t="s">
        <v>109</v>
      </c>
      <c r="M35" s="8">
        <v>1</v>
      </c>
      <c r="N35" s="9">
        <v>3.3</v>
      </c>
      <c r="O35" s="8">
        <v>142.66999999999999</v>
      </c>
    </row>
    <row r="36" spans="1:15" x14ac:dyDescent="0.25">
      <c r="A36" s="10" t="s">
        <v>1</v>
      </c>
      <c r="B36" s="10" t="s">
        <v>398</v>
      </c>
      <c r="C36" s="10" t="s">
        <v>1</v>
      </c>
      <c r="D36" s="10" t="s">
        <v>1</v>
      </c>
      <c r="E36" s="10" t="s">
        <v>1</v>
      </c>
      <c r="F36" s="10" t="s">
        <v>1</v>
      </c>
      <c r="G36" s="10" t="s">
        <v>1</v>
      </c>
      <c r="H36" s="10" t="s">
        <v>1</v>
      </c>
      <c r="I36" s="10" t="s">
        <v>1</v>
      </c>
      <c r="J36" s="10" t="s">
        <v>1</v>
      </c>
      <c r="K36" s="10" t="s">
        <v>1</v>
      </c>
      <c r="L36" s="10" t="s">
        <v>1</v>
      </c>
      <c r="M36" s="11">
        <v>8</v>
      </c>
      <c r="N36" s="11">
        <v>29.42</v>
      </c>
      <c r="O36" s="11">
        <v>1271.9100000000001</v>
      </c>
    </row>
    <row r="37" spans="1:15" x14ac:dyDescent="0.25">
      <c r="B37" s="2" t="s">
        <v>1</v>
      </c>
    </row>
    <row r="38" spans="1:15" x14ac:dyDescent="0.25">
      <c r="B38" s="2" t="s">
        <v>399</v>
      </c>
    </row>
    <row r="39" spans="1:15" x14ac:dyDescent="0.25">
      <c r="B39" s="2" t="s">
        <v>1</v>
      </c>
    </row>
    <row r="40" spans="1:15" x14ac:dyDescent="0.25">
      <c r="A40" s="6" t="s">
        <v>4</v>
      </c>
      <c r="B40" s="6" t="s">
        <v>5</v>
      </c>
      <c r="C40" s="6" t="s">
        <v>6</v>
      </c>
      <c r="D40" s="6" t="s">
        <v>7</v>
      </c>
      <c r="E40" s="6" t="s">
        <v>8</v>
      </c>
      <c r="F40" s="6" t="s">
        <v>9</v>
      </c>
      <c r="G40" s="6" t="s">
        <v>10</v>
      </c>
      <c r="H40" s="6" t="s">
        <v>11</v>
      </c>
      <c r="I40" s="6" t="s">
        <v>12</v>
      </c>
      <c r="J40" s="6" t="s">
        <v>13</v>
      </c>
      <c r="K40" s="6" t="s">
        <v>14</v>
      </c>
      <c r="L40" s="6" t="s">
        <v>15</v>
      </c>
      <c r="M40" s="6" t="s">
        <v>16</v>
      </c>
      <c r="N40" s="6" t="s">
        <v>17</v>
      </c>
      <c r="O40" s="6" t="s">
        <v>18</v>
      </c>
    </row>
    <row r="41" spans="1:15" x14ac:dyDescent="0.25">
      <c r="A41" s="3" t="s">
        <v>386</v>
      </c>
      <c r="B41" s="3" t="s">
        <v>400</v>
      </c>
      <c r="C41" s="4">
        <v>45965</v>
      </c>
      <c r="D41" s="3" t="s">
        <v>21</v>
      </c>
      <c r="E41" s="3" t="s">
        <v>58</v>
      </c>
      <c r="F41" s="3" t="s">
        <v>220</v>
      </c>
      <c r="G41" s="3" t="s">
        <v>98</v>
      </c>
      <c r="H41" s="3" t="s">
        <v>25</v>
      </c>
      <c r="I41" s="3" t="s">
        <v>664</v>
      </c>
      <c r="J41" s="3" t="s">
        <v>665</v>
      </c>
      <c r="K41" s="3" t="s">
        <v>403</v>
      </c>
      <c r="L41" s="3" t="s">
        <v>404</v>
      </c>
      <c r="M41" s="8">
        <v>1</v>
      </c>
      <c r="N41" s="9">
        <v>3.5</v>
      </c>
      <c r="O41" s="8">
        <v>151.31</v>
      </c>
    </row>
    <row r="42" spans="1:15" x14ac:dyDescent="0.25">
      <c r="A42" s="3" t="s">
        <v>386</v>
      </c>
      <c r="B42" s="3" t="s">
        <v>400</v>
      </c>
      <c r="C42" s="4">
        <v>45966</v>
      </c>
      <c r="D42" s="3" t="s">
        <v>21</v>
      </c>
      <c r="E42" s="3" t="s">
        <v>35</v>
      </c>
      <c r="F42" s="3" t="s">
        <v>220</v>
      </c>
      <c r="G42" s="3" t="s">
        <v>98</v>
      </c>
      <c r="H42" s="3" t="s">
        <v>25</v>
      </c>
      <c r="I42" s="3" t="s">
        <v>666</v>
      </c>
      <c r="J42" s="3" t="s">
        <v>667</v>
      </c>
      <c r="K42" s="3" t="s">
        <v>33</v>
      </c>
      <c r="L42" s="3" t="s">
        <v>47</v>
      </c>
      <c r="M42" s="8">
        <v>1</v>
      </c>
      <c r="N42" s="9">
        <v>3.06</v>
      </c>
      <c r="O42" s="8">
        <v>132.29</v>
      </c>
    </row>
    <row r="43" spans="1:15" x14ac:dyDescent="0.25">
      <c r="A43" s="3" t="s">
        <v>386</v>
      </c>
      <c r="B43" s="3" t="s">
        <v>400</v>
      </c>
      <c r="C43" s="4">
        <v>45966</v>
      </c>
      <c r="D43" s="3" t="s">
        <v>21</v>
      </c>
      <c r="E43" s="3" t="s">
        <v>35</v>
      </c>
      <c r="F43" s="3" t="s">
        <v>220</v>
      </c>
      <c r="G43" s="3" t="s">
        <v>98</v>
      </c>
      <c r="H43" s="3" t="s">
        <v>25</v>
      </c>
      <c r="I43" s="3" t="s">
        <v>668</v>
      </c>
      <c r="J43" s="3" t="s">
        <v>669</v>
      </c>
      <c r="K43" s="3" t="s">
        <v>33</v>
      </c>
      <c r="L43" s="3" t="s">
        <v>47</v>
      </c>
      <c r="M43" s="8">
        <v>1</v>
      </c>
      <c r="N43" s="9">
        <v>2.7</v>
      </c>
      <c r="O43" s="8">
        <v>116.73</v>
      </c>
    </row>
    <row r="44" spans="1:15" x14ac:dyDescent="0.25">
      <c r="A44" s="3" t="s">
        <v>386</v>
      </c>
      <c r="B44" s="3" t="s">
        <v>400</v>
      </c>
      <c r="C44" s="4">
        <v>45968</v>
      </c>
      <c r="D44" s="3" t="s">
        <v>21</v>
      </c>
      <c r="E44" s="3" t="s">
        <v>44</v>
      </c>
      <c r="F44" s="3" t="s">
        <v>220</v>
      </c>
      <c r="G44" s="3" t="s">
        <v>98</v>
      </c>
      <c r="H44" s="3" t="s">
        <v>25</v>
      </c>
      <c r="I44" s="3" t="s">
        <v>670</v>
      </c>
      <c r="J44" s="3" t="s">
        <v>671</v>
      </c>
      <c r="K44" s="3" t="s">
        <v>71</v>
      </c>
      <c r="L44" s="3" t="s">
        <v>63</v>
      </c>
      <c r="M44" s="8">
        <v>1</v>
      </c>
      <c r="N44" s="9">
        <v>3.68</v>
      </c>
      <c r="O44" s="8">
        <v>159.1</v>
      </c>
    </row>
    <row r="45" spans="1:15" x14ac:dyDescent="0.25">
      <c r="A45" s="3" t="s">
        <v>386</v>
      </c>
      <c r="B45" s="3" t="s">
        <v>400</v>
      </c>
      <c r="C45" s="4">
        <v>45968</v>
      </c>
      <c r="D45" s="3" t="s">
        <v>21</v>
      </c>
      <c r="E45" s="3" t="s">
        <v>44</v>
      </c>
      <c r="F45" s="3" t="s">
        <v>220</v>
      </c>
      <c r="G45" s="3" t="s">
        <v>98</v>
      </c>
      <c r="H45" s="3" t="s">
        <v>25</v>
      </c>
      <c r="I45" s="3" t="s">
        <v>672</v>
      </c>
      <c r="J45" s="3" t="s">
        <v>673</v>
      </c>
      <c r="K45" s="3" t="s">
        <v>393</v>
      </c>
      <c r="L45" s="3" t="s">
        <v>47</v>
      </c>
      <c r="M45" s="8">
        <v>1</v>
      </c>
      <c r="N45" s="9">
        <v>2.54</v>
      </c>
      <c r="O45" s="8">
        <v>109.81</v>
      </c>
    </row>
    <row r="46" spans="1:15" x14ac:dyDescent="0.25">
      <c r="A46" s="3" t="s">
        <v>386</v>
      </c>
      <c r="B46" s="3" t="s">
        <v>400</v>
      </c>
      <c r="C46" s="4">
        <v>45971</v>
      </c>
      <c r="D46" s="3" t="s">
        <v>21</v>
      </c>
      <c r="E46" s="3" t="s">
        <v>38</v>
      </c>
      <c r="F46" s="3" t="s">
        <v>220</v>
      </c>
      <c r="G46" s="3" t="s">
        <v>98</v>
      </c>
      <c r="H46" s="3" t="s">
        <v>25</v>
      </c>
      <c r="I46" s="3" t="s">
        <v>674</v>
      </c>
      <c r="J46" s="3" t="s">
        <v>675</v>
      </c>
      <c r="K46" s="3" t="s">
        <v>91</v>
      </c>
      <c r="L46" s="3" t="s">
        <v>92</v>
      </c>
      <c r="M46" s="8">
        <v>1</v>
      </c>
      <c r="N46" s="9">
        <v>3.38</v>
      </c>
      <c r="O46" s="8">
        <v>146.13</v>
      </c>
    </row>
    <row r="47" spans="1:15" x14ac:dyDescent="0.25">
      <c r="A47" s="3" t="s">
        <v>386</v>
      </c>
      <c r="B47" s="3" t="s">
        <v>400</v>
      </c>
      <c r="C47" s="4">
        <v>45974</v>
      </c>
      <c r="D47" s="3" t="s">
        <v>21</v>
      </c>
      <c r="E47" s="3" t="s">
        <v>30</v>
      </c>
      <c r="F47" s="3" t="s">
        <v>220</v>
      </c>
      <c r="G47" s="3" t="s">
        <v>98</v>
      </c>
      <c r="H47" s="3" t="s">
        <v>25</v>
      </c>
      <c r="I47" s="3" t="s">
        <v>676</v>
      </c>
      <c r="J47" s="3" t="s">
        <v>677</v>
      </c>
      <c r="K47" s="3" t="s">
        <v>393</v>
      </c>
      <c r="L47" s="3" t="s">
        <v>34</v>
      </c>
      <c r="M47" s="8">
        <v>1</v>
      </c>
      <c r="N47" s="9">
        <v>5.0999999999999996</v>
      </c>
      <c r="O47" s="8">
        <v>220.49</v>
      </c>
    </row>
    <row r="48" spans="1:15" x14ac:dyDescent="0.25">
      <c r="A48" s="3" t="s">
        <v>386</v>
      </c>
      <c r="B48" s="3" t="s">
        <v>400</v>
      </c>
      <c r="C48" s="4">
        <v>45975</v>
      </c>
      <c r="D48" s="3" t="s">
        <v>21</v>
      </c>
      <c r="E48" s="3" t="s">
        <v>44</v>
      </c>
      <c r="F48" s="3" t="s">
        <v>220</v>
      </c>
      <c r="G48" s="3" t="s">
        <v>98</v>
      </c>
      <c r="H48" s="3" t="s">
        <v>25</v>
      </c>
      <c r="I48" s="3" t="s">
        <v>678</v>
      </c>
      <c r="J48" s="3" t="s">
        <v>679</v>
      </c>
      <c r="K48" s="3" t="s">
        <v>390</v>
      </c>
      <c r="L48" s="3" t="s">
        <v>63</v>
      </c>
      <c r="M48" s="8">
        <v>1</v>
      </c>
      <c r="N48" s="9">
        <v>3.16</v>
      </c>
      <c r="O48" s="8">
        <v>136.62</v>
      </c>
    </row>
    <row r="49" spans="1:15" x14ac:dyDescent="0.25">
      <c r="A49" s="3" t="s">
        <v>386</v>
      </c>
      <c r="B49" s="3" t="s">
        <v>400</v>
      </c>
      <c r="C49" s="4">
        <v>45975</v>
      </c>
      <c r="D49" s="3" t="s">
        <v>21</v>
      </c>
      <c r="E49" s="3" t="s">
        <v>44</v>
      </c>
      <c r="F49" s="3" t="s">
        <v>220</v>
      </c>
      <c r="G49" s="3" t="s">
        <v>98</v>
      </c>
      <c r="H49" s="3" t="s">
        <v>25</v>
      </c>
      <c r="I49" s="3" t="s">
        <v>680</v>
      </c>
      <c r="J49" s="3" t="s">
        <v>681</v>
      </c>
      <c r="K49" s="3" t="s">
        <v>390</v>
      </c>
      <c r="L49" s="3" t="s">
        <v>63</v>
      </c>
      <c r="M49" s="8">
        <v>1</v>
      </c>
      <c r="N49" s="9">
        <v>2.78</v>
      </c>
      <c r="O49" s="8">
        <v>120.19</v>
      </c>
    </row>
    <row r="50" spans="1:15" x14ac:dyDescent="0.25">
      <c r="A50" s="3" t="s">
        <v>386</v>
      </c>
      <c r="B50" s="3" t="s">
        <v>400</v>
      </c>
      <c r="C50" s="4">
        <v>45976</v>
      </c>
      <c r="D50" s="3" t="s">
        <v>21</v>
      </c>
      <c r="E50" s="3" t="s">
        <v>22</v>
      </c>
      <c r="F50" s="3" t="s">
        <v>220</v>
      </c>
      <c r="G50" s="3" t="s">
        <v>98</v>
      </c>
      <c r="H50" s="3" t="s">
        <v>25</v>
      </c>
      <c r="I50" s="3" t="s">
        <v>682</v>
      </c>
      <c r="J50" s="3" t="s">
        <v>683</v>
      </c>
      <c r="K50" s="3" t="s">
        <v>390</v>
      </c>
      <c r="L50" s="3" t="s">
        <v>47</v>
      </c>
      <c r="M50" s="8">
        <v>1</v>
      </c>
      <c r="N50" s="9">
        <v>2.98</v>
      </c>
      <c r="O50" s="8">
        <v>128.83000000000001</v>
      </c>
    </row>
    <row r="51" spans="1:15" x14ac:dyDescent="0.25">
      <c r="A51" s="3" t="s">
        <v>386</v>
      </c>
      <c r="B51" s="3" t="s">
        <v>400</v>
      </c>
      <c r="C51" s="4">
        <v>45978</v>
      </c>
      <c r="D51" s="3" t="s">
        <v>21</v>
      </c>
      <c r="E51" s="3" t="s">
        <v>38</v>
      </c>
      <c r="F51" s="3" t="s">
        <v>220</v>
      </c>
      <c r="G51" s="3" t="s">
        <v>98</v>
      </c>
      <c r="H51" s="3" t="s">
        <v>25</v>
      </c>
      <c r="I51" s="3" t="s">
        <v>684</v>
      </c>
      <c r="J51" s="3" t="s">
        <v>685</v>
      </c>
      <c r="K51" s="3" t="s">
        <v>393</v>
      </c>
      <c r="L51" s="3" t="s">
        <v>68</v>
      </c>
      <c r="M51" s="8">
        <v>1</v>
      </c>
      <c r="N51" s="9">
        <v>4.4000000000000004</v>
      </c>
      <c r="O51" s="8">
        <v>190.22</v>
      </c>
    </row>
    <row r="52" spans="1:15" x14ac:dyDescent="0.25">
      <c r="A52" s="3" t="s">
        <v>386</v>
      </c>
      <c r="B52" s="3" t="s">
        <v>400</v>
      </c>
      <c r="C52" s="4">
        <v>45981</v>
      </c>
      <c r="D52" s="3" t="s">
        <v>21</v>
      </c>
      <c r="E52" s="3" t="s">
        <v>30</v>
      </c>
      <c r="F52" s="3" t="s">
        <v>220</v>
      </c>
      <c r="G52" s="3" t="s">
        <v>98</v>
      </c>
      <c r="H52" s="3" t="s">
        <v>25</v>
      </c>
      <c r="I52" s="3" t="s">
        <v>686</v>
      </c>
      <c r="J52" s="3" t="s">
        <v>687</v>
      </c>
      <c r="K52" s="3" t="s">
        <v>393</v>
      </c>
      <c r="L52" s="3" t="s">
        <v>68</v>
      </c>
      <c r="M52" s="8">
        <v>1</v>
      </c>
      <c r="N52" s="9">
        <v>4.4800000000000004</v>
      </c>
      <c r="O52" s="8">
        <v>193.68</v>
      </c>
    </row>
    <row r="53" spans="1:15" x14ac:dyDescent="0.25">
      <c r="A53" s="3" t="s">
        <v>386</v>
      </c>
      <c r="B53" s="3" t="s">
        <v>400</v>
      </c>
      <c r="C53" s="4">
        <v>45985</v>
      </c>
      <c r="D53" s="3" t="s">
        <v>21</v>
      </c>
      <c r="E53" s="3" t="s">
        <v>38</v>
      </c>
      <c r="F53" s="3" t="s">
        <v>220</v>
      </c>
      <c r="G53" s="3" t="s">
        <v>98</v>
      </c>
      <c r="H53" s="3" t="s">
        <v>25</v>
      </c>
      <c r="I53" s="3" t="s">
        <v>688</v>
      </c>
      <c r="J53" s="3" t="s">
        <v>689</v>
      </c>
      <c r="K53" s="3" t="s">
        <v>187</v>
      </c>
      <c r="L53" s="3" t="s">
        <v>109</v>
      </c>
      <c r="M53" s="8">
        <v>1</v>
      </c>
      <c r="N53" s="9">
        <v>4.8</v>
      </c>
      <c r="O53" s="8">
        <v>207.52</v>
      </c>
    </row>
    <row r="54" spans="1:15" x14ac:dyDescent="0.25">
      <c r="A54" s="3" t="s">
        <v>386</v>
      </c>
      <c r="B54" s="3" t="s">
        <v>400</v>
      </c>
      <c r="C54" s="4">
        <v>45986</v>
      </c>
      <c r="D54" s="3" t="s">
        <v>21</v>
      </c>
      <c r="E54" s="3" t="s">
        <v>58</v>
      </c>
      <c r="F54" s="3" t="s">
        <v>220</v>
      </c>
      <c r="G54" s="3" t="s">
        <v>98</v>
      </c>
      <c r="H54" s="3" t="s">
        <v>25</v>
      </c>
      <c r="I54" s="3" t="s">
        <v>690</v>
      </c>
      <c r="J54" s="3" t="s">
        <v>691</v>
      </c>
      <c r="K54" s="3" t="s">
        <v>71</v>
      </c>
      <c r="L54" s="3" t="s">
        <v>63</v>
      </c>
      <c r="M54" s="8">
        <v>1</v>
      </c>
      <c r="N54" s="9">
        <v>3.36</v>
      </c>
      <c r="O54" s="8">
        <v>145.26</v>
      </c>
    </row>
    <row r="55" spans="1:15" x14ac:dyDescent="0.25">
      <c r="A55" s="3" t="s">
        <v>386</v>
      </c>
      <c r="B55" s="3" t="s">
        <v>400</v>
      </c>
      <c r="C55" s="4">
        <v>45989</v>
      </c>
      <c r="D55" s="3" t="s">
        <v>21</v>
      </c>
      <c r="E55" s="3" t="s">
        <v>44</v>
      </c>
      <c r="F55" s="3" t="s">
        <v>220</v>
      </c>
      <c r="G55" s="3" t="s">
        <v>98</v>
      </c>
      <c r="H55" s="3" t="s">
        <v>25</v>
      </c>
      <c r="I55" s="3" t="s">
        <v>692</v>
      </c>
      <c r="J55" s="3" t="s">
        <v>693</v>
      </c>
      <c r="K55" s="3" t="s">
        <v>390</v>
      </c>
      <c r="L55" s="3" t="s">
        <v>34</v>
      </c>
      <c r="M55" s="8">
        <v>1</v>
      </c>
      <c r="N55" s="9">
        <v>4.9400000000000004</v>
      </c>
      <c r="O55" s="8">
        <v>213.57</v>
      </c>
    </row>
    <row r="56" spans="1:15" x14ac:dyDescent="0.25">
      <c r="A56" s="10" t="s">
        <v>1</v>
      </c>
      <c r="B56" s="10" t="s">
        <v>415</v>
      </c>
      <c r="C56" s="10" t="s">
        <v>1</v>
      </c>
      <c r="D56" s="10" t="s">
        <v>1</v>
      </c>
      <c r="E56" s="10" t="s">
        <v>1</v>
      </c>
      <c r="F56" s="10" t="s">
        <v>1</v>
      </c>
      <c r="G56" s="10" t="s">
        <v>1</v>
      </c>
      <c r="H56" s="10" t="s">
        <v>1</v>
      </c>
      <c r="I56" s="10" t="s">
        <v>1</v>
      </c>
      <c r="J56" s="10" t="s">
        <v>1</v>
      </c>
      <c r="K56" s="10" t="s">
        <v>1</v>
      </c>
      <c r="L56" s="10" t="s">
        <v>1</v>
      </c>
      <c r="M56" s="11">
        <v>15</v>
      </c>
      <c r="N56" s="11">
        <v>54.86</v>
      </c>
      <c r="O56" s="11">
        <v>2371.75</v>
      </c>
    </row>
    <row r="57" spans="1:15" x14ac:dyDescent="0.25">
      <c r="B57" s="2" t="s">
        <v>1</v>
      </c>
    </row>
    <row r="58" spans="1:15" x14ac:dyDescent="0.25">
      <c r="B58" s="2" t="s">
        <v>416</v>
      </c>
    </row>
    <row r="59" spans="1:15" x14ac:dyDescent="0.25">
      <c r="B59" s="2" t="s">
        <v>1</v>
      </c>
    </row>
    <row r="60" spans="1:15" x14ac:dyDescent="0.25">
      <c r="A60" s="6" t="s">
        <v>4</v>
      </c>
      <c r="B60" s="6" t="s">
        <v>5</v>
      </c>
      <c r="C60" s="6" t="s">
        <v>6</v>
      </c>
      <c r="D60" s="6" t="s">
        <v>7</v>
      </c>
      <c r="E60" s="6" t="s">
        <v>8</v>
      </c>
      <c r="F60" s="6" t="s">
        <v>9</v>
      </c>
      <c r="G60" s="6" t="s">
        <v>10</v>
      </c>
      <c r="H60" s="6" t="s">
        <v>11</v>
      </c>
      <c r="I60" s="6" t="s">
        <v>12</v>
      </c>
      <c r="J60" s="6" t="s">
        <v>13</v>
      </c>
      <c r="K60" s="6" t="s">
        <v>14</v>
      </c>
      <c r="L60" s="6" t="s">
        <v>15</v>
      </c>
      <c r="M60" s="6" t="s">
        <v>16</v>
      </c>
      <c r="N60" s="6" t="s">
        <v>17</v>
      </c>
      <c r="O60" s="6" t="s">
        <v>18</v>
      </c>
    </row>
    <row r="61" spans="1:15" x14ac:dyDescent="0.25">
      <c r="A61" s="3" t="s">
        <v>386</v>
      </c>
      <c r="B61" s="3" t="s">
        <v>417</v>
      </c>
      <c r="C61" s="4">
        <v>45966</v>
      </c>
      <c r="D61" s="3" t="s">
        <v>21</v>
      </c>
      <c r="E61" s="3" t="s">
        <v>35</v>
      </c>
      <c r="F61" s="3" t="s">
        <v>220</v>
      </c>
      <c r="G61" s="3" t="s">
        <v>98</v>
      </c>
      <c r="H61" s="3" t="s">
        <v>25</v>
      </c>
      <c r="I61" s="3" t="s">
        <v>694</v>
      </c>
      <c r="J61" s="3" t="s">
        <v>695</v>
      </c>
      <c r="K61" s="3" t="s">
        <v>115</v>
      </c>
      <c r="L61" s="3" t="s">
        <v>34</v>
      </c>
      <c r="M61" s="8">
        <v>1</v>
      </c>
      <c r="N61" s="9">
        <v>4.5599999999999996</v>
      </c>
      <c r="O61" s="8">
        <v>197.14</v>
      </c>
    </row>
    <row r="62" spans="1:15" x14ac:dyDescent="0.25">
      <c r="A62" s="3" t="s">
        <v>386</v>
      </c>
      <c r="B62" s="3" t="s">
        <v>417</v>
      </c>
      <c r="C62" s="4">
        <v>45968</v>
      </c>
      <c r="D62" s="3" t="s">
        <v>21</v>
      </c>
      <c r="E62" s="3" t="s">
        <v>44</v>
      </c>
      <c r="F62" s="3" t="s">
        <v>220</v>
      </c>
      <c r="G62" s="3" t="s">
        <v>98</v>
      </c>
      <c r="H62" s="3" t="s">
        <v>25</v>
      </c>
      <c r="I62" s="3" t="s">
        <v>696</v>
      </c>
      <c r="J62" s="3" t="s">
        <v>697</v>
      </c>
      <c r="K62" s="3" t="s">
        <v>393</v>
      </c>
      <c r="L62" s="3" t="s">
        <v>47</v>
      </c>
      <c r="M62" s="8">
        <v>1</v>
      </c>
      <c r="N62" s="9">
        <v>3.98</v>
      </c>
      <c r="O62" s="8">
        <v>172.07</v>
      </c>
    </row>
    <row r="63" spans="1:15" x14ac:dyDescent="0.25">
      <c r="A63" s="3" t="s">
        <v>386</v>
      </c>
      <c r="B63" s="3" t="s">
        <v>417</v>
      </c>
      <c r="C63" s="4">
        <v>45969</v>
      </c>
      <c r="D63" s="3" t="s">
        <v>21</v>
      </c>
      <c r="E63" s="3" t="s">
        <v>22</v>
      </c>
      <c r="F63" s="3" t="s">
        <v>220</v>
      </c>
      <c r="G63" s="3" t="s">
        <v>98</v>
      </c>
      <c r="H63" s="3" t="s">
        <v>25</v>
      </c>
      <c r="I63" s="3" t="s">
        <v>698</v>
      </c>
      <c r="J63" s="3" t="s">
        <v>699</v>
      </c>
      <c r="K63" s="3" t="s">
        <v>201</v>
      </c>
      <c r="L63" s="3" t="s">
        <v>202</v>
      </c>
      <c r="M63" s="8">
        <v>1</v>
      </c>
      <c r="N63" s="9">
        <v>2.08</v>
      </c>
      <c r="O63" s="8">
        <v>89.92</v>
      </c>
    </row>
    <row r="64" spans="1:15" x14ac:dyDescent="0.25">
      <c r="A64" s="3" t="s">
        <v>386</v>
      </c>
      <c r="B64" s="3" t="s">
        <v>417</v>
      </c>
      <c r="C64" s="4">
        <v>45973</v>
      </c>
      <c r="D64" s="3" t="s">
        <v>21</v>
      </c>
      <c r="E64" s="3" t="s">
        <v>35</v>
      </c>
      <c r="F64" s="3" t="s">
        <v>220</v>
      </c>
      <c r="G64" s="3" t="s">
        <v>98</v>
      </c>
      <c r="H64" s="3" t="s">
        <v>25</v>
      </c>
      <c r="I64" s="3" t="s">
        <v>700</v>
      </c>
      <c r="J64" s="3" t="s">
        <v>701</v>
      </c>
      <c r="K64" s="3" t="s">
        <v>390</v>
      </c>
      <c r="L64" s="3" t="s">
        <v>63</v>
      </c>
      <c r="M64" s="8">
        <v>1</v>
      </c>
      <c r="N64" s="9">
        <v>3.04</v>
      </c>
      <c r="O64" s="8">
        <v>131.43</v>
      </c>
    </row>
    <row r="65" spans="1:15" x14ac:dyDescent="0.25">
      <c r="A65" s="3" t="s">
        <v>386</v>
      </c>
      <c r="B65" s="3" t="s">
        <v>417</v>
      </c>
      <c r="C65" s="4">
        <v>45974</v>
      </c>
      <c r="D65" s="3" t="s">
        <v>21</v>
      </c>
      <c r="E65" s="3" t="s">
        <v>30</v>
      </c>
      <c r="F65" s="3" t="s">
        <v>220</v>
      </c>
      <c r="G65" s="3" t="s">
        <v>98</v>
      </c>
      <c r="H65" s="3" t="s">
        <v>25</v>
      </c>
      <c r="I65" s="3" t="s">
        <v>702</v>
      </c>
      <c r="J65" s="3" t="s">
        <v>703</v>
      </c>
      <c r="K65" s="3" t="s">
        <v>393</v>
      </c>
      <c r="L65" s="3" t="s">
        <v>34</v>
      </c>
      <c r="M65" s="8">
        <v>1</v>
      </c>
      <c r="N65" s="9">
        <v>3.1</v>
      </c>
      <c r="O65" s="8">
        <v>134.02000000000001</v>
      </c>
    </row>
    <row r="66" spans="1:15" x14ac:dyDescent="0.25">
      <c r="A66" s="3" t="s">
        <v>386</v>
      </c>
      <c r="B66" s="3" t="s">
        <v>417</v>
      </c>
      <c r="C66" s="4">
        <v>45975</v>
      </c>
      <c r="D66" s="3" t="s">
        <v>21</v>
      </c>
      <c r="E66" s="3" t="s">
        <v>44</v>
      </c>
      <c r="F66" s="3" t="s">
        <v>220</v>
      </c>
      <c r="G66" s="3" t="s">
        <v>98</v>
      </c>
      <c r="H66" s="3" t="s">
        <v>25</v>
      </c>
      <c r="I66" s="3" t="s">
        <v>704</v>
      </c>
      <c r="J66" s="3" t="s">
        <v>705</v>
      </c>
      <c r="K66" s="3" t="s">
        <v>390</v>
      </c>
      <c r="L66" s="3" t="s">
        <v>63</v>
      </c>
      <c r="M66" s="8">
        <v>1</v>
      </c>
      <c r="N66" s="9">
        <v>2.96</v>
      </c>
      <c r="O66" s="8">
        <v>127.97</v>
      </c>
    </row>
    <row r="67" spans="1:15" x14ac:dyDescent="0.25">
      <c r="A67" s="3" t="s">
        <v>386</v>
      </c>
      <c r="B67" s="3" t="s">
        <v>417</v>
      </c>
      <c r="C67" s="4">
        <v>45980</v>
      </c>
      <c r="D67" s="3" t="s">
        <v>21</v>
      </c>
      <c r="E67" s="3" t="s">
        <v>35</v>
      </c>
      <c r="F67" s="3" t="s">
        <v>220</v>
      </c>
      <c r="G67" s="3" t="s">
        <v>98</v>
      </c>
      <c r="H67" s="3" t="s">
        <v>25</v>
      </c>
      <c r="I67" s="3" t="s">
        <v>706</v>
      </c>
      <c r="J67" s="3" t="s">
        <v>707</v>
      </c>
      <c r="K67" s="3" t="s">
        <v>403</v>
      </c>
      <c r="L67" s="3" t="s">
        <v>404</v>
      </c>
      <c r="M67" s="8">
        <v>1</v>
      </c>
      <c r="N67" s="9">
        <v>4.5</v>
      </c>
      <c r="O67" s="8">
        <v>194.55</v>
      </c>
    </row>
    <row r="68" spans="1:15" x14ac:dyDescent="0.25">
      <c r="A68" s="3" t="s">
        <v>386</v>
      </c>
      <c r="B68" s="3" t="s">
        <v>417</v>
      </c>
      <c r="C68" s="4">
        <v>45981</v>
      </c>
      <c r="D68" s="3" t="s">
        <v>21</v>
      </c>
      <c r="E68" s="3" t="s">
        <v>30</v>
      </c>
      <c r="F68" s="3" t="s">
        <v>220</v>
      </c>
      <c r="G68" s="3" t="s">
        <v>98</v>
      </c>
      <c r="H68" s="3" t="s">
        <v>25</v>
      </c>
      <c r="I68" s="3" t="s">
        <v>708</v>
      </c>
      <c r="J68" s="3" t="s">
        <v>709</v>
      </c>
      <c r="K68" s="3" t="s">
        <v>33</v>
      </c>
      <c r="L68" s="3" t="s">
        <v>109</v>
      </c>
      <c r="M68" s="8">
        <v>1</v>
      </c>
      <c r="N68" s="9">
        <v>3.18</v>
      </c>
      <c r="O68" s="8">
        <v>137.47999999999999</v>
      </c>
    </row>
    <row r="69" spans="1:15" x14ac:dyDescent="0.25">
      <c r="A69" s="3" t="s">
        <v>386</v>
      </c>
      <c r="B69" s="3" t="s">
        <v>417</v>
      </c>
      <c r="C69" s="4">
        <v>45988</v>
      </c>
      <c r="D69" s="3" t="s">
        <v>21</v>
      </c>
      <c r="E69" s="3" t="s">
        <v>30</v>
      </c>
      <c r="F69" s="3" t="s">
        <v>220</v>
      </c>
      <c r="G69" s="3" t="s">
        <v>98</v>
      </c>
      <c r="H69" s="3" t="s">
        <v>25</v>
      </c>
      <c r="I69" s="3" t="s">
        <v>710</v>
      </c>
      <c r="J69" s="3" t="s">
        <v>711</v>
      </c>
      <c r="K69" s="3" t="s">
        <v>403</v>
      </c>
      <c r="L69" s="3" t="s">
        <v>404</v>
      </c>
      <c r="M69" s="8">
        <v>1</v>
      </c>
      <c r="N69" s="9">
        <v>2.7</v>
      </c>
      <c r="O69" s="8">
        <v>116.73</v>
      </c>
    </row>
    <row r="70" spans="1:15" x14ac:dyDescent="0.25">
      <c r="A70" s="10" t="s">
        <v>1</v>
      </c>
      <c r="B70" s="10" t="s">
        <v>423</v>
      </c>
      <c r="C70" s="10" t="s">
        <v>1</v>
      </c>
      <c r="D70" s="10" t="s">
        <v>1</v>
      </c>
      <c r="E70" s="10" t="s">
        <v>1</v>
      </c>
      <c r="F70" s="10" t="s">
        <v>1</v>
      </c>
      <c r="G70" s="10" t="s">
        <v>1</v>
      </c>
      <c r="H70" s="10" t="s">
        <v>1</v>
      </c>
      <c r="I70" s="10" t="s">
        <v>1</v>
      </c>
      <c r="J70" s="10" t="s">
        <v>1</v>
      </c>
      <c r="K70" s="10" t="s">
        <v>1</v>
      </c>
      <c r="L70" s="10" t="s">
        <v>1</v>
      </c>
      <c r="M70" s="11">
        <v>9</v>
      </c>
      <c r="N70" s="11">
        <v>30.1</v>
      </c>
      <c r="O70" s="11">
        <v>1301.3</v>
      </c>
    </row>
    <row r="71" spans="1:15" x14ac:dyDescent="0.25">
      <c r="B71" s="2" t="s">
        <v>1</v>
      </c>
    </row>
    <row r="72" spans="1:15" x14ac:dyDescent="0.25">
      <c r="B72" s="2" t="s">
        <v>712</v>
      </c>
    </row>
    <row r="73" spans="1:15" x14ac:dyDescent="0.25">
      <c r="B73" s="2" t="s">
        <v>1</v>
      </c>
    </row>
    <row r="74" spans="1:15" x14ac:dyDescent="0.25">
      <c r="A74" s="6" t="s">
        <v>4</v>
      </c>
      <c r="B74" s="6" t="s">
        <v>5</v>
      </c>
      <c r="C74" s="6" t="s">
        <v>6</v>
      </c>
      <c r="D74" s="6" t="s">
        <v>7</v>
      </c>
      <c r="E74" s="6" t="s">
        <v>8</v>
      </c>
      <c r="F74" s="6" t="s">
        <v>9</v>
      </c>
      <c r="G74" s="6" t="s">
        <v>10</v>
      </c>
      <c r="H74" s="6" t="s">
        <v>11</v>
      </c>
      <c r="I74" s="6" t="s">
        <v>12</v>
      </c>
      <c r="J74" s="6" t="s">
        <v>13</v>
      </c>
      <c r="K74" s="6" t="s">
        <v>14</v>
      </c>
      <c r="L74" s="6" t="s">
        <v>15</v>
      </c>
      <c r="M74" s="6" t="s">
        <v>16</v>
      </c>
      <c r="N74" s="6" t="s">
        <v>17</v>
      </c>
      <c r="O74" s="6" t="s">
        <v>18</v>
      </c>
    </row>
    <row r="75" spans="1:15" x14ac:dyDescent="0.25">
      <c r="A75" s="3" t="s">
        <v>386</v>
      </c>
      <c r="B75" s="3" t="s">
        <v>713</v>
      </c>
      <c r="C75" s="4">
        <v>45967</v>
      </c>
      <c r="D75" s="3" t="s">
        <v>21</v>
      </c>
      <c r="E75" s="3" t="s">
        <v>30</v>
      </c>
      <c r="F75" s="3" t="s">
        <v>220</v>
      </c>
      <c r="G75" s="3" t="s">
        <v>98</v>
      </c>
      <c r="H75" s="3" t="s">
        <v>25</v>
      </c>
      <c r="I75" s="3" t="s">
        <v>714</v>
      </c>
      <c r="J75" s="3" t="s">
        <v>715</v>
      </c>
      <c r="K75" s="3" t="s">
        <v>390</v>
      </c>
      <c r="L75" s="3" t="s">
        <v>63</v>
      </c>
      <c r="M75" s="8">
        <v>1</v>
      </c>
      <c r="N75" s="9">
        <v>3.34</v>
      </c>
      <c r="O75" s="8">
        <v>144.4</v>
      </c>
    </row>
    <row r="76" spans="1:15" x14ac:dyDescent="0.25">
      <c r="A76" s="3" t="s">
        <v>386</v>
      </c>
      <c r="B76" s="3" t="s">
        <v>713</v>
      </c>
      <c r="C76" s="4">
        <v>45971</v>
      </c>
      <c r="D76" s="3" t="s">
        <v>21</v>
      </c>
      <c r="E76" s="3" t="s">
        <v>38</v>
      </c>
      <c r="F76" s="3" t="s">
        <v>220</v>
      </c>
      <c r="G76" s="3" t="s">
        <v>98</v>
      </c>
      <c r="H76" s="3" t="s">
        <v>25</v>
      </c>
      <c r="I76" s="3" t="s">
        <v>716</v>
      </c>
      <c r="J76" s="3" t="s">
        <v>717</v>
      </c>
      <c r="K76" s="3" t="s">
        <v>403</v>
      </c>
      <c r="L76" s="3" t="s">
        <v>404</v>
      </c>
      <c r="M76" s="8">
        <v>1</v>
      </c>
      <c r="N76" s="9">
        <v>3.54</v>
      </c>
      <c r="O76" s="8">
        <v>153.04</v>
      </c>
    </row>
    <row r="77" spans="1:15" x14ac:dyDescent="0.25">
      <c r="A77" s="3" t="s">
        <v>386</v>
      </c>
      <c r="B77" s="3" t="s">
        <v>713</v>
      </c>
      <c r="C77" s="4">
        <v>45971</v>
      </c>
      <c r="D77" s="3" t="s">
        <v>21</v>
      </c>
      <c r="E77" s="3" t="s">
        <v>38</v>
      </c>
      <c r="F77" s="3" t="s">
        <v>220</v>
      </c>
      <c r="G77" s="3" t="s">
        <v>98</v>
      </c>
      <c r="H77" s="3" t="s">
        <v>25</v>
      </c>
      <c r="I77" s="3" t="s">
        <v>718</v>
      </c>
      <c r="J77" s="3" t="s">
        <v>719</v>
      </c>
      <c r="K77" s="3" t="s">
        <v>403</v>
      </c>
      <c r="L77" s="3" t="s">
        <v>404</v>
      </c>
      <c r="M77" s="8">
        <v>1</v>
      </c>
      <c r="N77" s="9">
        <v>3.48</v>
      </c>
      <c r="O77" s="8">
        <v>150.44999999999999</v>
      </c>
    </row>
    <row r="78" spans="1:15" x14ac:dyDescent="0.25">
      <c r="A78" s="3" t="s">
        <v>386</v>
      </c>
      <c r="B78" s="3" t="s">
        <v>713</v>
      </c>
      <c r="C78" s="4">
        <v>45971</v>
      </c>
      <c r="D78" s="3" t="s">
        <v>21</v>
      </c>
      <c r="E78" s="3" t="s">
        <v>38</v>
      </c>
      <c r="F78" s="3" t="s">
        <v>220</v>
      </c>
      <c r="G78" s="3" t="s">
        <v>98</v>
      </c>
      <c r="H78" s="3" t="s">
        <v>25</v>
      </c>
      <c r="I78" s="3" t="s">
        <v>720</v>
      </c>
      <c r="J78" s="3" t="s">
        <v>721</v>
      </c>
      <c r="K78" s="3" t="s">
        <v>403</v>
      </c>
      <c r="L78" s="3" t="s">
        <v>404</v>
      </c>
      <c r="M78" s="8">
        <v>1</v>
      </c>
      <c r="N78" s="9">
        <v>3.6</v>
      </c>
      <c r="O78" s="8">
        <v>155.63999999999999</v>
      </c>
    </row>
    <row r="79" spans="1:15" x14ac:dyDescent="0.25">
      <c r="A79" s="3" t="s">
        <v>386</v>
      </c>
      <c r="B79" s="3" t="s">
        <v>713</v>
      </c>
      <c r="C79" s="4">
        <v>45974</v>
      </c>
      <c r="D79" s="3" t="s">
        <v>21</v>
      </c>
      <c r="E79" s="3" t="s">
        <v>30</v>
      </c>
      <c r="F79" s="3" t="s">
        <v>220</v>
      </c>
      <c r="G79" s="3" t="s">
        <v>98</v>
      </c>
      <c r="H79" s="3" t="s">
        <v>25</v>
      </c>
      <c r="I79" s="3" t="s">
        <v>722</v>
      </c>
      <c r="J79" s="3" t="s">
        <v>723</v>
      </c>
      <c r="K79" s="3" t="s">
        <v>403</v>
      </c>
      <c r="L79" s="3" t="s">
        <v>404</v>
      </c>
      <c r="M79" s="8">
        <v>1</v>
      </c>
      <c r="N79" s="9">
        <v>3.84</v>
      </c>
      <c r="O79" s="8">
        <v>166.01</v>
      </c>
    </row>
    <row r="80" spans="1:15" x14ac:dyDescent="0.25">
      <c r="A80" s="3" t="s">
        <v>386</v>
      </c>
      <c r="B80" s="3" t="s">
        <v>713</v>
      </c>
      <c r="C80" s="4">
        <v>45974</v>
      </c>
      <c r="D80" s="3" t="s">
        <v>21</v>
      </c>
      <c r="E80" s="3" t="s">
        <v>30</v>
      </c>
      <c r="F80" s="3" t="s">
        <v>220</v>
      </c>
      <c r="G80" s="3" t="s">
        <v>98</v>
      </c>
      <c r="H80" s="3" t="s">
        <v>25</v>
      </c>
      <c r="I80" s="3" t="s">
        <v>724</v>
      </c>
      <c r="J80" s="3" t="s">
        <v>725</v>
      </c>
      <c r="K80" s="3" t="s">
        <v>403</v>
      </c>
      <c r="L80" s="3" t="s">
        <v>404</v>
      </c>
      <c r="M80" s="8">
        <v>1</v>
      </c>
      <c r="N80" s="9">
        <v>4.4800000000000004</v>
      </c>
      <c r="O80" s="8">
        <v>193.68</v>
      </c>
    </row>
    <row r="81" spans="1:15" x14ac:dyDescent="0.25">
      <c r="A81" s="3" t="s">
        <v>386</v>
      </c>
      <c r="B81" s="3" t="s">
        <v>713</v>
      </c>
      <c r="C81" s="4">
        <v>45978</v>
      </c>
      <c r="D81" s="3" t="s">
        <v>21</v>
      </c>
      <c r="E81" s="3" t="s">
        <v>38</v>
      </c>
      <c r="F81" s="3" t="s">
        <v>220</v>
      </c>
      <c r="G81" s="3" t="s">
        <v>98</v>
      </c>
      <c r="H81" s="3" t="s">
        <v>25</v>
      </c>
      <c r="I81" s="3" t="s">
        <v>726</v>
      </c>
      <c r="J81" s="3" t="s">
        <v>727</v>
      </c>
      <c r="K81" s="3" t="s">
        <v>403</v>
      </c>
      <c r="L81" s="3" t="s">
        <v>404</v>
      </c>
      <c r="M81" s="8">
        <v>1</v>
      </c>
      <c r="N81" s="9">
        <v>3.54</v>
      </c>
      <c r="O81" s="8">
        <v>153.04</v>
      </c>
    </row>
    <row r="82" spans="1:15" x14ac:dyDescent="0.25">
      <c r="A82" s="3" t="s">
        <v>386</v>
      </c>
      <c r="B82" s="3" t="s">
        <v>713</v>
      </c>
      <c r="C82" s="4">
        <v>45978</v>
      </c>
      <c r="D82" s="3" t="s">
        <v>21</v>
      </c>
      <c r="E82" s="3" t="s">
        <v>38</v>
      </c>
      <c r="F82" s="3" t="s">
        <v>220</v>
      </c>
      <c r="G82" s="3" t="s">
        <v>98</v>
      </c>
      <c r="H82" s="3" t="s">
        <v>25</v>
      </c>
      <c r="I82" s="3" t="s">
        <v>728</v>
      </c>
      <c r="J82" s="3" t="s">
        <v>729</v>
      </c>
      <c r="K82" s="3" t="s">
        <v>403</v>
      </c>
      <c r="L82" s="3" t="s">
        <v>404</v>
      </c>
      <c r="M82" s="8">
        <v>1</v>
      </c>
      <c r="N82" s="9">
        <v>5.0199999999999996</v>
      </c>
      <c r="O82" s="8">
        <v>217.03</v>
      </c>
    </row>
    <row r="83" spans="1:15" x14ac:dyDescent="0.25">
      <c r="A83" s="3" t="s">
        <v>386</v>
      </c>
      <c r="B83" s="3" t="s">
        <v>713</v>
      </c>
      <c r="C83" s="4">
        <v>45978</v>
      </c>
      <c r="D83" s="3" t="s">
        <v>21</v>
      </c>
      <c r="E83" s="3" t="s">
        <v>38</v>
      </c>
      <c r="F83" s="3" t="s">
        <v>220</v>
      </c>
      <c r="G83" s="3" t="s">
        <v>98</v>
      </c>
      <c r="H83" s="3" t="s">
        <v>25</v>
      </c>
      <c r="I83" s="3" t="s">
        <v>730</v>
      </c>
      <c r="J83" s="3" t="s">
        <v>731</v>
      </c>
      <c r="K83" s="3" t="s">
        <v>403</v>
      </c>
      <c r="L83" s="3" t="s">
        <v>404</v>
      </c>
      <c r="M83" s="8">
        <v>1</v>
      </c>
      <c r="N83" s="9">
        <v>5.38</v>
      </c>
      <c r="O83" s="8">
        <v>232.59</v>
      </c>
    </row>
    <row r="84" spans="1:15" x14ac:dyDescent="0.25">
      <c r="A84" s="3" t="s">
        <v>386</v>
      </c>
      <c r="B84" s="3" t="s">
        <v>713</v>
      </c>
      <c r="C84" s="4">
        <v>45979</v>
      </c>
      <c r="D84" s="3" t="s">
        <v>21</v>
      </c>
      <c r="E84" s="3" t="s">
        <v>58</v>
      </c>
      <c r="F84" s="3" t="s">
        <v>220</v>
      </c>
      <c r="G84" s="3" t="s">
        <v>98</v>
      </c>
      <c r="H84" s="3" t="s">
        <v>25</v>
      </c>
      <c r="I84" s="3" t="s">
        <v>732</v>
      </c>
      <c r="J84" s="3" t="s">
        <v>733</v>
      </c>
      <c r="K84" s="3" t="s">
        <v>403</v>
      </c>
      <c r="L84" s="3" t="s">
        <v>404</v>
      </c>
      <c r="M84" s="8">
        <v>1</v>
      </c>
      <c r="N84" s="9">
        <v>4.28</v>
      </c>
      <c r="O84" s="8">
        <v>185.04</v>
      </c>
    </row>
    <row r="85" spans="1:15" x14ac:dyDescent="0.25">
      <c r="A85" s="3" t="s">
        <v>386</v>
      </c>
      <c r="B85" s="3" t="s">
        <v>713</v>
      </c>
      <c r="C85" s="4">
        <v>45980</v>
      </c>
      <c r="D85" s="3" t="s">
        <v>21</v>
      </c>
      <c r="E85" s="3" t="s">
        <v>35</v>
      </c>
      <c r="F85" s="3" t="s">
        <v>220</v>
      </c>
      <c r="G85" s="3" t="s">
        <v>98</v>
      </c>
      <c r="H85" s="3" t="s">
        <v>25</v>
      </c>
      <c r="I85" s="3" t="s">
        <v>734</v>
      </c>
      <c r="J85" s="3" t="s">
        <v>735</v>
      </c>
      <c r="K85" s="3" t="s">
        <v>62</v>
      </c>
      <c r="L85" s="3" t="s">
        <v>65</v>
      </c>
      <c r="M85" s="8">
        <v>1</v>
      </c>
      <c r="N85" s="9">
        <v>5.66</v>
      </c>
      <c r="O85" s="8">
        <v>244.7</v>
      </c>
    </row>
    <row r="86" spans="1:15" x14ac:dyDescent="0.25">
      <c r="A86" s="3" t="s">
        <v>386</v>
      </c>
      <c r="B86" s="3" t="s">
        <v>713</v>
      </c>
      <c r="C86" s="4">
        <v>45980</v>
      </c>
      <c r="D86" s="3" t="s">
        <v>21</v>
      </c>
      <c r="E86" s="3" t="s">
        <v>35</v>
      </c>
      <c r="F86" s="3" t="s">
        <v>220</v>
      </c>
      <c r="G86" s="3" t="s">
        <v>98</v>
      </c>
      <c r="H86" s="3" t="s">
        <v>25</v>
      </c>
      <c r="I86" s="3" t="s">
        <v>736</v>
      </c>
      <c r="J86" s="3" t="s">
        <v>737</v>
      </c>
      <c r="K86" s="3" t="s">
        <v>62</v>
      </c>
      <c r="L86" s="3" t="s">
        <v>65</v>
      </c>
      <c r="M86" s="8">
        <v>1</v>
      </c>
      <c r="N86" s="9">
        <v>5.46</v>
      </c>
      <c r="O86" s="8">
        <v>236.05</v>
      </c>
    </row>
    <row r="87" spans="1:15" x14ac:dyDescent="0.25">
      <c r="A87" s="3" t="s">
        <v>386</v>
      </c>
      <c r="B87" s="3" t="s">
        <v>713</v>
      </c>
      <c r="C87" s="4">
        <v>45981</v>
      </c>
      <c r="D87" s="3" t="s">
        <v>21</v>
      </c>
      <c r="E87" s="3" t="s">
        <v>30</v>
      </c>
      <c r="F87" s="3" t="s">
        <v>220</v>
      </c>
      <c r="G87" s="3" t="s">
        <v>98</v>
      </c>
      <c r="H87" s="3" t="s">
        <v>25</v>
      </c>
      <c r="I87" s="3" t="s">
        <v>738</v>
      </c>
      <c r="J87" s="3" t="s">
        <v>739</v>
      </c>
      <c r="K87" s="3" t="s">
        <v>33</v>
      </c>
      <c r="L87" s="3" t="s">
        <v>109</v>
      </c>
      <c r="M87" s="8">
        <v>1</v>
      </c>
      <c r="N87" s="9">
        <v>3.12</v>
      </c>
      <c r="O87" s="8">
        <v>134.88999999999999</v>
      </c>
    </row>
    <row r="88" spans="1:15" x14ac:dyDescent="0.25">
      <c r="A88" s="3" t="s">
        <v>386</v>
      </c>
      <c r="B88" s="3" t="s">
        <v>713</v>
      </c>
      <c r="C88" s="4">
        <v>45983</v>
      </c>
      <c r="D88" s="3" t="s">
        <v>21</v>
      </c>
      <c r="E88" s="3" t="s">
        <v>22</v>
      </c>
      <c r="F88" s="3" t="s">
        <v>220</v>
      </c>
      <c r="G88" s="3" t="s">
        <v>98</v>
      </c>
      <c r="H88" s="3" t="s">
        <v>25</v>
      </c>
      <c r="I88" s="3" t="s">
        <v>740</v>
      </c>
      <c r="J88" s="3" t="s">
        <v>741</v>
      </c>
      <c r="K88" s="3" t="s">
        <v>390</v>
      </c>
      <c r="L88" s="3" t="s">
        <v>34</v>
      </c>
      <c r="M88" s="8">
        <v>1</v>
      </c>
      <c r="N88" s="9">
        <v>4.28</v>
      </c>
      <c r="O88" s="8">
        <v>185.04</v>
      </c>
    </row>
    <row r="89" spans="1:15" x14ac:dyDescent="0.25">
      <c r="A89" s="3" t="s">
        <v>386</v>
      </c>
      <c r="B89" s="3" t="s">
        <v>713</v>
      </c>
      <c r="C89" s="4">
        <v>45985</v>
      </c>
      <c r="D89" s="3" t="s">
        <v>21</v>
      </c>
      <c r="E89" s="3" t="s">
        <v>38</v>
      </c>
      <c r="F89" s="3" t="s">
        <v>220</v>
      </c>
      <c r="G89" s="3" t="s">
        <v>98</v>
      </c>
      <c r="H89" s="3" t="s">
        <v>25</v>
      </c>
      <c r="I89" s="3" t="s">
        <v>742</v>
      </c>
      <c r="J89" s="3" t="s">
        <v>743</v>
      </c>
      <c r="K89" s="3" t="s">
        <v>403</v>
      </c>
      <c r="L89" s="3" t="s">
        <v>404</v>
      </c>
      <c r="M89" s="8">
        <v>1</v>
      </c>
      <c r="N89" s="9">
        <v>4.24</v>
      </c>
      <c r="O89" s="8">
        <v>183.31</v>
      </c>
    </row>
    <row r="90" spans="1:15" x14ac:dyDescent="0.25">
      <c r="A90" s="3" t="s">
        <v>386</v>
      </c>
      <c r="B90" s="3" t="s">
        <v>713</v>
      </c>
      <c r="C90" s="4">
        <v>45985</v>
      </c>
      <c r="D90" s="3" t="s">
        <v>21</v>
      </c>
      <c r="E90" s="3" t="s">
        <v>38</v>
      </c>
      <c r="F90" s="3" t="s">
        <v>220</v>
      </c>
      <c r="G90" s="3" t="s">
        <v>98</v>
      </c>
      <c r="H90" s="3" t="s">
        <v>25</v>
      </c>
      <c r="I90" s="3" t="s">
        <v>744</v>
      </c>
      <c r="J90" s="3" t="s">
        <v>745</v>
      </c>
      <c r="K90" s="3" t="s">
        <v>403</v>
      </c>
      <c r="L90" s="3" t="s">
        <v>404</v>
      </c>
      <c r="M90" s="8">
        <v>1</v>
      </c>
      <c r="N90" s="9">
        <v>4.26</v>
      </c>
      <c r="O90" s="8">
        <v>184.17</v>
      </c>
    </row>
    <row r="91" spans="1:15" x14ac:dyDescent="0.25">
      <c r="A91" s="3" t="s">
        <v>386</v>
      </c>
      <c r="B91" s="3" t="s">
        <v>713</v>
      </c>
      <c r="C91" s="4">
        <v>45986</v>
      </c>
      <c r="D91" s="3" t="s">
        <v>21</v>
      </c>
      <c r="E91" s="3" t="s">
        <v>58</v>
      </c>
      <c r="F91" s="3" t="s">
        <v>220</v>
      </c>
      <c r="G91" s="3" t="s">
        <v>98</v>
      </c>
      <c r="H91" s="3" t="s">
        <v>25</v>
      </c>
      <c r="I91" s="3" t="s">
        <v>746</v>
      </c>
      <c r="J91" s="3" t="s">
        <v>747</v>
      </c>
      <c r="K91" s="3" t="s">
        <v>403</v>
      </c>
      <c r="L91" s="3" t="s">
        <v>404</v>
      </c>
      <c r="M91" s="8">
        <v>1</v>
      </c>
      <c r="N91" s="9">
        <v>4.82</v>
      </c>
      <c r="O91" s="8">
        <v>208.38</v>
      </c>
    </row>
    <row r="92" spans="1:15" x14ac:dyDescent="0.25">
      <c r="A92" s="3" t="s">
        <v>386</v>
      </c>
      <c r="B92" s="3" t="s">
        <v>713</v>
      </c>
      <c r="C92" s="4">
        <v>45986</v>
      </c>
      <c r="D92" s="3" t="s">
        <v>21</v>
      </c>
      <c r="E92" s="3" t="s">
        <v>58</v>
      </c>
      <c r="F92" s="3" t="s">
        <v>220</v>
      </c>
      <c r="G92" s="3" t="s">
        <v>98</v>
      </c>
      <c r="H92" s="3" t="s">
        <v>25</v>
      </c>
      <c r="I92" s="3" t="s">
        <v>748</v>
      </c>
      <c r="J92" s="3" t="s">
        <v>749</v>
      </c>
      <c r="K92" s="3" t="s">
        <v>403</v>
      </c>
      <c r="L92" s="3" t="s">
        <v>404</v>
      </c>
      <c r="M92" s="8">
        <v>1</v>
      </c>
      <c r="N92" s="9">
        <v>5.0599999999999996</v>
      </c>
      <c r="O92" s="8">
        <v>218.76</v>
      </c>
    </row>
    <row r="93" spans="1:15" x14ac:dyDescent="0.25">
      <c r="A93" s="3" t="s">
        <v>386</v>
      </c>
      <c r="B93" s="3" t="s">
        <v>713</v>
      </c>
      <c r="C93" s="4">
        <v>45986</v>
      </c>
      <c r="D93" s="3" t="s">
        <v>21</v>
      </c>
      <c r="E93" s="3" t="s">
        <v>58</v>
      </c>
      <c r="F93" s="3" t="s">
        <v>220</v>
      </c>
      <c r="G93" s="3" t="s">
        <v>98</v>
      </c>
      <c r="H93" s="3" t="s">
        <v>25</v>
      </c>
      <c r="I93" s="3" t="s">
        <v>750</v>
      </c>
      <c r="J93" s="3" t="s">
        <v>751</v>
      </c>
      <c r="K93" s="3" t="s">
        <v>403</v>
      </c>
      <c r="L93" s="3" t="s">
        <v>404</v>
      </c>
      <c r="M93" s="8">
        <v>1</v>
      </c>
      <c r="N93" s="9">
        <v>4.9800000000000004</v>
      </c>
      <c r="O93" s="8">
        <v>215.3</v>
      </c>
    </row>
    <row r="94" spans="1:15" x14ac:dyDescent="0.25">
      <c r="A94" s="3" t="s">
        <v>386</v>
      </c>
      <c r="B94" s="3" t="s">
        <v>713</v>
      </c>
      <c r="C94" s="4">
        <v>45986</v>
      </c>
      <c r="D94" s="3" t="s">
        <v>21</v>
      </c>
      <c r="E94" s="3" t="s">
        <v>58</v>
      </c>
      <c r="F94" s="3" t="s">
        <v>220</v>
      </c>
      <c r="G94" s="3" t="s">
        <v>98</v>
      </c>
      <c r="H94" s="3" t="s">
        <v>25</v>
      </c>
      <c r="I94" s="3" t="s">
        <v>752</v>
      </c>
      <c r="J94" s="3" t="s">
        <v>753</v>
      </c>
      <c r="K94" s="3" t="s">
        <v>403</v>
      </c>
      <c r="L94" s="3" t="s">
        <v>404</v>
      </c>
      <c r="M94" s="8">
        <v>1</v>
      </c>
      <c r="N94" s="9">
        <v>5.54</v>
      </c>
      <c r="O94" s="8">
        <v>239.51</v>
      </c>
    </row>
    <row r="95" spans="1:15" x14ac:dyDescent="0.25">
      <c r="A95" s="3" t="s">
        <v>386</v>
      </c>
      <c r="B95" s="3" t="s">
        <v>713</v>
      </c>
      <c r="C95" s="4">
        <v>45987</v>
      </c>
      <c r="D95" s="3" t="s">
        <v>21</v>
      </c>
      <c r="E95" s="3" t="s">
        <v>35</v>
      </c>
      <c r="F95" s="3" t="s">
        <v>220</v>
      </c>
      <c r="G95" s="3" t="s">
        <v>98</v>
      </c>
      <c r="H95" s="3" t="s">
        <v>25</v>
      </c>
      <c r="I95" s="3" t="s">
        <v>754</v>
      </c>
      <c r="J95" s="3" t="s">
        <v>755</v>
      </c>
      <c r="K95" s="3" t="s">
        <v>403</v>
      </c>
      <c r="L95" s="3" t="s">
        <v>404</v>
      </c>
      <c r="M95" s="8">
        <v>1</v>
      </c>
      <c r="N95" s="9">
        <v>4.22</v>
      </c>
      <c r="O95" s="8">
        <v>182.44</v>
      </c>
    </row>
    <row r="96" spans="1:15" x14ac:dyDescent="0.25">
      <c r="A96" s="3" t="s">
        <v>386</v>
      </c>
      <c r="B96" s="3" t="s">
        <v>713</v>
      </c>
      <c r="C96" s="4">
        <v>45988</v>
      </c>
      <c r="D96" s="3" t="s">
        <v>21</v>
      </c>
      <c r="E96" s="3" t="s">
        <v>30</v>
      </c>
      <c r="F96" s="3" t="s">
        <v>220</v>
      </c>
      <c r="G96" s="3" t="s">
        <v>98</v>
      </c>
      <c r="H96" s="3" t="s">
        <v>25</v>
      </c>
      <c r="I96" s="3" t="s">
        <v>756</v>
      </c>
      <c r="J96" s="3" t="s">
        <v>757</v>
      </c>
      <c r="K96" s="3" t="s">
        <v>187</v>
      </c>
      <c r="L96" s="3" t="s">
        <v>47</v>
      </c>
      <c r="M96" s="8">
        <v>1</v>
      </c>
      <c r="N96" s="9">
        <v>2.46</v>
      </c>
      <c r="O96" s="8">
        <v>106.35</v>
      </c>
    </row>
    <row r="97" spans="1:15" x14ac:dyDescent="0.25">
      <c r="A97" s="3" t="s">
        <v>386</v>
      </c>
      <c r="B97" s="3" t="s">
        <v>713</v>
      </c>
      <c r="C97" s="4">
        <v>45988</v>
      </c>
      <c r="D97" s="3" t="s">
        <v>21</v>
      </c>
      <c r="E97" s="3" t="s">
        <v>30</v>
      </c>
      <c r="F97" s="3" t="s">
        <v>220</v>
      </c>
      <c r="G97" s="3" t="s">
        <v>98</v>
      </c>
      <c r="H97" s="3" t="s">
        <v>25</v>
      </c>
      <c r="I97" s="3" t="s">
        <v>758</v>
      </c>
      <c r="J97" s="3" t="s">
        <v>759</v>
      </c>
      <c r="K97" s="3" t="s">
        <v>403</v>
      </c>
      <c r="L97" s="3" t="s">
        <v>404</v>
      </c>
      <c r="M97" s="8">
        <v>1</v>
      </c>
      <c r="N97" s="9">
        <v>3.54</v>
      </c>
      <c r="O97" s="8">
        <v>153.04</v>
      </c>
    </row>
    <row r="98" spans="1:15" x14ac:dyDescent="0.25">
      <c r="A98" s="3" t="s">
        <v>386</v>
      </c>
      <c r="B98" s="3" t="s">
        <v>713</v>
      </c>
      <c r="C98" s="4">
        <v>45990</v>
      </c>
      <c r="D98" s="3" t="s">
        <v>21</v>
      </c>
      <c r="E98" s="3" t="s">
        <v>22</v>
      </c>
      <c r="F98" s="3" t="s">
        <v>220</v>
      </c>
      <c r="G98" s="3" t="s">
        <v>98</v>
      </c>
      <c r="H98" s="3" t="s">
        <v>25</v>
      </c>
      <c r="I98" s="3" t="s">
        <v>760</v>
      </c>
      <c r="J98" s="3" t="s">
        <v>761</v>
      </c>
      <c r="K98" s="3" t="s">
        <v>452</v>
      </c>
      <c r="L98" s="3" t="s">
        <v>47</v>
      </c>
      <c r="M98" s="8">
        <v>1</v>
      </c>
      <c r="N98" s="9">
        <v>3.68</v>
      </c>
      <c r="O98" s="8">
        <v>159.1</v>
      </c>
    </row>
    <row r="99" spans="1:15" x14ac:dyDescent="0.25">
      <c r="A99" s="10" t="s">
        <v>1</v>
      </c>
      <c r="B99" s="10" t="s">
        <v>762</v>
      </c>
      <c r="C99" s="10" t="s">
        <v>1</v>
      </c>
      <c r="D99" s="10" t="s">
        <v>1</v>
      </c>
      <c r="E99" s="10" t="s">
        <v>1</v>
      </c>
      <c r="F99" s="10" t="s">
        <v>1</v>
      </c>
      <c r="G99" s="10" t="s">
        <v>1</v>
      </c>
      <c r="H99" s="10" t="s">
        <v>1</v>
      </c>
      <c r="I99" s="10" t="s">
        <v>1</v>
      </c>
      <c r="J99" s="10" t="s">
        <v>1</v>
      </c>
      <c r="K99" s="10" t="s">
        <v>1</v>
      </c>
      <c r="L99" s="10" t="s">
        <v>1</v>
      </c>
      <c r="M99" s="11">
        <v>24</v>
      </c>
      <c r="N99" s="11">
        <v>101.82</v>
      </c>
      <c r="O99" s="11">
        <v>4401.95</v>
      </c>
    </row>
    <row r="100" spans="1:15" x14ac:dyDescent="0.25">
      <c r="B100" s="2" t="s">
        <v>1</v>
      </c>
    </row>
    <row r="101" spans="1:15" x14ac:dyDescent="0.25">
      <c r="B101" s="2" t="s">
        <v>433</v>
      </c>
    </row>
    <row r="102" spans="1:15" x14ac:dyDescent="0.25">
      <c r="B102" s="2" t="s">
        <v>1</v>
      </c>
    </row>
    <row r="103" spans="1:15" x14ac:dyDescent="0.25">
      <c r="A103" s="6" t="s">
        <v>4</v>
      </c>
      <c r="B103" s="6" t="s">
        <v>5</v>
      </c>
      <c r="C103" s="6" t="s">
        <v>6</v>
      </c>
      <c r="D103" s="6" t="s">
        <v>7</v>
      </c>
      <c r="E103" s="6" t="s">
        <v>8</v>
      </c>
      <c r="F103" s="6" t="s">
        <v>9</v>
      </c>
      <c r="G103" s="6" t="s">
        <v>10</v>
      </c>
      <c r="H103" s="6" t="s">
        <v>11</v>
      </c>
      <c r="I103" s="6" t="s">
        <v>12</v>
      </c>
      <c r="J103" s="6" t="s">
        <v>13</v>
      </c>
      <c r="K103" s="6" t="s">
        <v>14</v>
      </c>
      <c r="L103" s="6" t="s">
        <v>15</v>
      </c>
      <c r="M103" s="6" t="s">
        <v>16</v>
      </c>
      <c r="N103" s="6" t="s">
        <v>17</v>
      </c>
      <c r="O103" s="6" t="s">
        <v>18</v>
      </c>
    </row>
    <row r="104" spans="1:15" x14ac:dyDescent="0.25">
      <c r="A104" s="3" t="s">
        <v>386</v>
      </c>
      <c r="B104" s="3" t="s">
        <v>434</v>
      </c>
      <c r="C104" s="4">
        <v>45966</v>
      </c>
      <c r="D104" s="3" t="s">
        <v>21</v>
      </c>
      <c r="E104" s="3" t="s">
        <v>35</v>
      </c>
      <c r="F104" s="3" t="s">
        <v>220</v>
      </c>
      <c r="G104" s="3" t="s">
        <v>98</v>
      </c>
      <c r="H104" s="3" t="s">
        <v>25</v>
      </c>
      <c r="I104" s="3" t="s">
        <v>763</v>
      </c>
      <c r="J104" s="3" t="s">
        <v>764</v>
      </c>
      <c r="K104" s="3" t="s">
        <v>403</v>
      </c>
      <c r="L104" s="3" t="s">
        <v>404</v>
      </c>
      <c r="M104" s="8">
        <v>1</v>
      </c>
      <c r="N104" s="9">
        <v>4.38</v>
      </c>
      <c r="O104" s="8">
        <v>189.36</v>
      </c>
    </row>
    <row r="105" spans="1:15" x14ac:dyDescent="0.25">
      <c r="A105" s="3" t="s">
        <v>386</v>
      </c>
      <c r="B105" s="3" t="s">
        <v>434</v>
      </c>
      <c r="C105" s="4">
        <v>45967</v>
      </c>
      <c r="D105" s="3" t="s">
        <v>21</v>
      </c>
      <c r="E105" s="3" t="s">
        <v>30</v>
      </c>
      <c r="F105" s="3" t="s">
        <v>220</v>
      </c>
      <c r="G105" s="3" t="s">
        <v>98</v>
      </c>
      <c r="H105" s="3" t="s">
        <v>25</v>
      </c>
      <c r="I105" s="3" t="s">
        <v>765</v>
      </c>
      <c r="J105" s="3" t="s">
        <v>766</v>
      </c>
      <c r="K105" s="3" t="s">
        <v>403</v>
      </c>
      <c r="L105" s="3" t="s">
        <v>404</v>
      </c>
      <c r="M105" s="8">
        <v>1</v>
      </c>
      <c r="N105" s="9">
        <v>2.4</v>
      </c>
      <c r="O105" s="8">
        <v>103.76</v>
      </c>
    </row>
    <row r="106" spans="1:15" x14ac:dyDescent="0.25">
      <c r="A106" s="3" t="s">
        <v>386</v>
      </c>
      <c r="B106" s="3" t="s">
        <v>434</v>
      </c>
      <c r="C106" s="4">
        <v>45968</v>
      </c>
      <c r="D106" s="3" t="s">
        <v>21</v>
      </c>
      <c r="E106" s="3" t="s">
        <v>44</v>
      </c>
      <c r="F106" s="3" t="s">
        <v>220</v>
      </c>
      <c r="G106" s="3" t="s">
        <v>98</v>
      </c>
      <c r="H106" s="3" t="s">
        <v>25</v>
      </c>
      <c r="I106" s="3" t="s">
        <v>767</v>
      </c>
      <c r="J106" s="3" t="s">
        <v>768</v>
      </c>
      <c r="K106" s="3" t="s">
        <v>403</v>
      </c>
      <c r="L106" s="3" t="s">
        <v>404</v>
      </c>
      <c r="M106" s="8">
        <v>1</v>
      </c>
      <c r="N106" s="9">
        <v>3.42</v>
      </c>
      <c r="O106" s="8">
        <v>147.86000000000001</v>
      </c>
    </row>
    <row r="107" spans="1:15" x14ac:dyDescent="0.25">
      <c r="A107" s="3" t="s">
        <v>386</v>
      </c>
      <c r="B107" s="3" t="s">
        <v>434</v>
      </c>
      <c r="C107" s="4">
        <v>45968</v>
      </c>
      <c r="D107" s="3" t="s">
        <v>21</v>
      </c>
      <c r="E107" s="3" t="s">
        <v>44</v>
      </c>
      <c r="F107" s="3" t="s">
        <v>220</v>
      </c>
      <c r="G107" s="3" t="s">
        <v>98</v>
      </c>
      <c r="H107" s="3" t="s">
        <v>25</v>
      </c>
      <c r="I107" s="3" t="s">
        <v>769</v>
      </c>
      <c r="J107" s="3" t="s">
        <v>770</v>
      </c>
      <c r="K107" s="3" t="s">
        <v>403</v>
      </c>
      <c r="L107" s="3" t="s">
        <v>404</v>
      </c>
      <c r="M107" s="8">
        <v>1</v>
      </c>
      <c r="N107" s="9">
        <v>1.6</v>
      </c>
      <c r="O107" s="8">
        <v>69.17</v>
      </c>
    </row>
    <row r="108" spans="1:15" x14ac:dyDescent="0.25">
      <c r="A108" s="3" t="s">
        <v>386</v>
      </c>
      <c r="B108" s="3" t="s">
        <v>434</v>
      </c>
      <c r="C108" s="4">
        <v>45973</v>
      </c>
      <c r="D108" s="3" t="s">
        <v>21</v>
      </c>
      <c r="E108" s="3" t="s">
        <v>35</v>
      </c>
      <c r="F108" s="3" t="s">
        <v>220</v>
      </c>
      <c r="G108" s="3" t="s">
        <v>98</v>
      </c>
      <c r="H108" s="3" t="s">
        <v>25</v>
      </c>
      <c r="I108" s="3" t="s">
        <v>771</v>
      </c>
      <c r="J108" s="3" t="s">
        <v>772</v>
      </c>
      <c r="K108" s="3" t="s">
        <v>403</v>
      </c>
      <c r="L108" s="3" t="s">
        <v>404</v>
      </c>
      <c r="M108" s="8">
        <v>1</v>
      </c>
      <c r="N108" s="9">
        <v>2.62</v>
      </c>
      <c r="O108" s="8">
        <v>113.27</v>
      </c>
    </row>
    <row r="109" spans="1:15" x14ac:dyDescent="0.25">
      <c r="A109" s="3" t="s">
        <v>386</v>
      </c>
      <c r="B109" s="3" t="s">
        <v>434</v>
      </c>
      <c r="C109" s="4">
        <v>45973</v>
      </c>
      <c r="D109" s="3" t="s">
        <v>21</v>
      </c>
      <c r="E109" s="3" t="s">
        <v>35</v>
      </c>
      <c r="F109" s="3" t="s">
        <v>220</v>
      </c>
      <c r="G109" s="3" t="s">
        <v>98</v>
      </c>
      <c r="H109" s="3" t="s">
        <v>25</v>
      </c>
      <c r="I109" s="3" t="s">
        <v>773</v>
      </c>
      <c r="J109" s="3" t="s">
        <v>774</v>
      </c>
      <c r="K109" s="3" t="s">
        <v>403</v>
      </c>
      <c r="L109" s="3" t="s">
        <v>404</v>
      </c>
      <c r="M109" s="8">
        <v>1</v>
      </c>
      <c r="N109" s="9">
        <v>3</v>
      </c>
      <c r="O109" s="8">
        <v>129.69999999999999</v>
      </c>
    </row>
    <row r="110" spans="1:15" x14ac:dyDescent="0.25">
      <c r="A110" s="3" t="s">
        <v>386</v>
      </c>
      <c r="B110" s="3" t="s">
        <v>434</v>
      </c>
      <c r="C110" s="4">
        <v>45974</v>
      </c>
      <c r="D110" s="3" t="s">
        <v>21</v>
      </c>
      <c r="E110" s="3" t="s">
        <v>30</v>
      </c>
      <c r="F110" s="3" t="s">
        <v>220</v>
      </c>
      <c r="G110" s="3" t="s">
        <v>98</v>
      </c>
      <c r="H110" s="3" t="s">
        <v>25</v>
      </c>
      <c r="I110" s="3" t="s">
        <v>775</v>
      </c>
      <c r="J110" s="3" t="s">
        <v>776</v>
      </c>
      <c r="K110" s="3" t="s">
        <v>403</v>
      </c>
      <c r="L110" s="3" t="s">
        <v>404</v>
      </c>
      <c r="M110" s="8">
        <v>1</v>
      </c>
      <c r="N110" s="9">
        <v>2.2999999999999998</v>
      </c>
      <c r="O110" s="8">
        <v>99.44</v>
      </c>
    </row>
    <row r="111" spans="1:15" x14ac:dyDescent="0.25">
      <c r="A111" s="3" t="s">
        <v>386</v>
      </c>
      <c r="B111" s="3" t="s">
        <v>434</v>
      </c>
      <c r="C111" s="4">
        <v>45975</v>
      </c>
      <c r="D111" s="3" t="s">
        <v>21</v>
      </c>
      <c r="E111" s="3" t="s">
        <v>44</v>
      </c>
      <c r="F111" s="3" t="s">
        <v>220</v>
      </c>
      <c r="G111" s="3" t="s">
        <v>98</v>
      </c>
      <c r="H111" s="3" t="s">
        <v>25</v>
      </c>
      <c r="I111" s="3" t="s">
        <v>777</v>
      </c>
      <c r="J111" s="3" t="s">
        <v>778</v>
      </c>
      <c r="K111" s="3" t="s">
        <v>403</v>
      </c>
      <c r="L111" s="3" t="s">
        <v>404</v>
      </c>
      <c r="M111" s="8">
        <v>1</v>
      </c>
      <c r="N111" s="9">
        <v>3.32</v>
      </c>
      <c r="O111" s="8">
        <v>143.53</v>
      </c>
    </row>
    <row r="112" spans="1:15" x14ac:dyDescent="0.25">
      <c r="A112" s="3" t="s">
        <v>386</v>
      </c>
      <c r="B112" s="3" t="s">
        <v>434</v>
      </c>
      <c r="C112" s="4">
        <v>45976</v>
      </c>
      <c r="D112" s="3" t="s">
        <v>21</v>
      </c>
      <c r="E112" s="3" t="s">
        <v>22</v>
      </c>
      <c r="F112" s="3" t="s">
        <v>220</v>
      </c>
      <c r="G112" s="3" t="s">
        <v>98</v>
      </c>
      <c r="H112" s="3" t="s">
        <v>25</v>
      </c>
      <c r="I112" s="3" t="s">
        <v>779</v>
      </c>
      <c r="J112" s="3" t="s">
        <v>780</v>
      </c>
      <c r="K112" s="3" t="s">
        <v>390</v>
      </c>
      <c r="L112" s="3" t="s">
        <v>47</v>
      </c>
      <c r="M112" s="8">
        <v>1</v>
      </c>
      <c r="N112" s="9">
        <v>2.66</v>
      </c>
      <c r="O112" s="8">
        <v>115</v>
      </c>
    </row>
    <row r="113" spans="1:15" x14ac:dyDescent="0.25">
      <c r="A113" s="3" t="s">
        <v>386</v>
      </c>
      <c r="B113" s="3" t="s">
        <v>434</v>
      </c>
      <c r="C113" s="4">
        <v>45976</v>
      </c>
      <c r="D113" s="3" t="s">
        <v>21</v>
      </c>
      <c r="E113" s="3" t="s">
        <v>22</v>
      </c>
      <c r="F113" s="3" t="s">
        <v>220</v>
      </c>
      <c r="G113" s="3" t="s">
        <v>98</v>
      </c>
      <c r="H113" s="3" t="s">
        <v>25</v>
      </c>
      <c r="I113" s="3" t="s">
        <v>781</v>
      </c>
      <c r="J113" s="3" t="s">
        <v>782</v>
      </c>
      <c r="K113" s="3" t="s">
        <v>390</v>
      </c>
      <c r="L113" s="3" t="s">
        <v>47</v>
      </c>
      <c r="M113" s="8">
        <v>1</v>
      </c>
      <c r="N113" s="9">
        <v>2.38</v>
      </c>
      <c r="O113" s="8">
        <v>102.89</v>
      </c>
    </row>
    <row r="114" spans="1:15" x14ac:dyDescent="0.25">
      <c r="A114" s="3" t="s">
        <v>386</v>
      </c>
      <c r="B114" s="3" t="s">
        <v>434</v>
      </c>
      <c r="C114" s="4">
        <v>45980</v>
      </c>
      <c r="D114" s="3" t="s">
        <v>21</v>
      </c>
      <c r="E114" s="3" t="s">
        <v>35</v>
      </c>
      <c r="F114" s="3" t="s">
        <v>220</v>
      </c>
      <c r="G114" s="3" t="s">
        <v>98</v>
      </c>
      <c r="H114" s="3" t="s">
        <v>25</v>
      </c>
      <c r="I114" s="3" t="s">
        <v>783</v>
      </c>
      <c r="J114" s="3" t="s">
        <v>784</v>
      </c>
      <c r="K114" s="3" t="s">
        <v>403</v>
      </c>
      <c r="L114" s="3" t="s">
        <v>404</v>
      </c>
      <c r="M114" s="8">
        <v>1</v>
      </c>
      <c r="N114" s="9">
        <v>3.82</v>
      </c>
      <c r="O114" s="8">
        <v>165.15</v>
      </c>
    </row>
    <row r="115" spans="1:15" x14ac:dyDescent="0.25">
      <c r="A115" s="3" t="s">
        <v>386</v>
      </c>
      <c r="B115" s="3" t="s">
        <v>434</v>
      </c>
      <c r="C115" s="4">
        <v>45981</v>
      </c>
      <c r="D115" s="3" t="s">
        <v>21</v>
      </c>
      <c r="E115" s="3" t="s">
        <v>30</v>
      </c>
      <c r="F115" s="3" t="s">
        <v>220</v>
      </c>
      <c r="G115" s="3" t="s">
        <v>98</v>
      </c>
      <c r="H115" s="3" t="s">
        <v>25</v>
      </c>
      <c r="I115" s="3" t="s">
        <v>785</v>
      </c>
      <c r="J115" s="3" t="s">
        <v>786</v>
      </c>
      <c r="K115" s="3" t="s">
        <v>403</v>
      </c>
      <c r="L115" s="3" t="s">
        <v>404</v>
      </c>
      <c r="M115" s="8">
        <v>1</v>
      </c>
      <c r="N115" s="9">
        <v>2.94</v>
      </c>
      <c r="O115" s="8">
        <v>127.1</v>
      </c>
    </row>
    <row r="116" spans="1:15" x14ac:dyDescent="0.25">
      <c r="A116" s="3" t="s">
        <v>386</v>
      </c>
      <c r="B116" s="3" t="s">
        <v>434</v>
      </c>
      <c r="C116" s="4">
        <v>45986</v>
      </c>
      <c r="D116" s="3" t="s">
        <v>21</v>
      </c>
      <c r="E116" s="3" t="s">
        <v>58</v>
      </c>
      <c r="F116" s="3" t="s">
        <v>220</v>
      </c>
      <c r="G116" s="3" t="s">
        <v>98</v>
      </c>
      <c r="H116" s="3" t="s">
        <v>25</v>
      </c>
      <c r="I116" s="3" t="s">
        <v>787</v>
      </c>
      <c r="J116" s="3" t="s">
        <v>788</v>
      </c>
      <c r="K116" s="3" t="s">
        <v>71</v>
      </c>
      <c r="L116" s="3" t="s">
        <v>63</v>
      </c>
      <c r="M116" s="8">
        <v>1</v>
      </c>
      <c r="N116" s="9">
        <v>4.4800000000000004</v>
      </c>
      <c r="O116" s="8">
        <v>193.68</v>
      </c>
    </row>
    <row r="117" spans="1:15" x14ac:dyDescent="0.25">
      <c r="A117" s="3" t="s">
        <v>386</v>
      </c>
      <c r="B117" s="3" t="s">
        <v>434</v>
      </c>
      <c r="C117" s="4">
        <v>45988</v>
      </c>
      <c r="D117" s="3" t="s">
        <v>21</v>
      </c>
      <c r="E117" s="3" t="s">
        <v>30</v>
      </c>
      <c r="F117" s="3" t="s">
        <v>220</v>
      </c>
      <c r="G117" s="3" t="s">
        <v>98</v>
      </c>
      <c r="H117" s="3" t="s">
        <v>25</v>
      </c>
      <c r="I117" s="3" t="s">
        <v>789</v>
      </c>
      <c r="J117" s="3" t="s">
        <v>790</v>
      </c>
      <c r="K117" s="3" t="s">
        <v>403</v>
      </c>
      <c r="L117" s="3" t="s">
        <v>404</v>
      </c>
      <c r="M117" s="8">
        <v>1</v>
      </c>
      <c r="N117" s="9">
        <v>5.16</v>
      </c>
      <c r="O117" s="8">
        <v>223.08</v>
      </c>
    </row>
    <row r="118" spans="1:15" x14ac:dyDescent="0.25">
      <c r="A118" s="3" t="s">
        <v>386</v>
      </c>
      <c r="B118" s="3" t="s">
        <v>434</v>
      </c>
      <c r="C118" s="4">
        <v>45989</v>
      </c>
      <c r="D118" s="3" t="s">
        <v>21</v>
      </c>
      <c r="E118" s="3" t="s">
        <v>44</v>
      </c>
      <c r="F118" s="3" t="s">
        <v>220</v>
      </c>
      <c r="G118" s="3" t="s">
        <v>98</v>
      </c>
      <c r="H118" s="3" t="s">
        <v>25</v>
      </c>
      <c r="I118" s="3" t="s">
        <v>791</v>
      </c>
      <c r="J118" s="3" t="s">
        <v>792</v>
      </c>
      <c r="K118" s="3" t="s">
        <v>403</v>
      </c>
      <c r="L118" s="3" t="s">
        <v>404</v>
      </c>
      <c r="M118" s="8">
        <v>1</v>
      </c>
      <c r="N118" s="9">
        <v>2.42</v>
      </c>
      <c r="O118" s="8">
        <v>104.62</v>
      </c>
    </row>
    <row r="119" spans="1:15" x14ac:dyDescent="0.25">
      <c r="A119" s="10" t="s">
        <v>1</v>
      </c>
      <c r="B119" s="10" t="s">
        <v>442</v>
      </c>
      <c r="C119" s="10" t="s">
        <v>1</v>
      </c>
      <c r="D119" s="10" t="s">
        <v>1</v>
      </c>
      <c r="E119" s="10" t="s">
        <v>1</v>
      </c>
      <c r="F119" s="10" t="s">
        <v>1</v>
      </c>
      <c r="G119" s="10" t="s">
        <v>1</v>
      </c>
      <c r="H119" s="10" t="s">
        <v>1</v>
      </c>
      <c r="I119" s="10" t="s">
        <v>1</v>
      </c>
      <c r="J119" s="10" t="s">
        <v>1</v>
      </c>
      <c r="K119" s="10" t="s">
        <v>1</v>
      </c>
      <c r="L119" s="10" t="s">
        <v>1</v>
      </c>
      <c r="M119" s="11">
        <v>15</v>
      </c>
      <c r="N119" s="11">
        <v>46.9</v>
      </c>
      <c r="O119" s="11">
        <v>2027.61</v>
      </c>
    </row>
    <row r="120" spans="1:15" x14ac:dyDescent="0.25">
      <c r="A120" s="5" t="s">
        <v>1</v>
      </c>
      <c r="B120" s="5" t="s">
        <v>262</v>
      </c>
      <c r="C120" s="5" t="s">
        <v>1</v>
      </c>
      <c r="D120" s="5" t="s">
        <v>1</v>
      </c>
      <c r="E120" s="5" t="s">
        <v>1</v>
      </c>
      <c r="F120" s="5" t="s">
        <v>1</v>
      </c>
      <c r="G120" s="5" t="s">
        <v>1</v>
      </c>
      <c r="H120" s="5" t="s">
        <v>1</v>
      </c>
      <c r="I120" s="5" t="s">
        <v>1</v>
      </c>
      <c r="J120" s="5" t="s">
        <v>1</v>
      </c>
      <c r="K120" s="5" t="s">
        <v>1</v>
      </c>
      <c r="L120" s="5" t="s">
        <v>1</v>
      </c>
      <c r="M120" s="8">
        <v>81</v>
      </c>
      <c r="N120" s="9">
        <v>293.68</v>
      </c>
      <c r="O120" s="8">
        <v>12696.58</v>
      </c>
    </row>
    <row r="121" spans="1:15" x14ac:dyDescent="0.25">
      <c r="A121" s="10" t="s">
        <v>1</v>
      </c>
      <c r="B121" s="10" t="s">
        <v>793</v>
      </c>
      <c r="C121" s="10" t="s">
        <v>1</v>
      </c>
      <c r="D121" s="10" t="s">
        <v>1</v>
      </c>
      <c r="E121" s="10" t="s">
        <v>1</v>
      </c>
      <c r="F121" s="10" t="s">
        <v>1</v>
      </c>
      <c r="G121" s="10" t="s">
        <v>1</v>
      </c>
      <c r="H121" s="10" t="s">
        <v>1</v>
      </c>
      <c r="I121" s="10" t="s">
        <v>1</v>
      </c>
      <c r="J121" s="10" t="s">
        <v>1</v>
      </c>
      <c r="K121" s="10" t="s">
        <v>1</v>
      </c>
      <c r="L121" s="10" t="s">
        <v>1</v>
      </c>
      <c r="M121" s="11">
        <v>81</v>
      </c>
      <c r="N121" s="11">
        <v>293.68</v>
      </c>
      <c r="O121" s="11">
        <v>12696.58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O65"/>
  <sheetViews>
    <sheetView topLeftCell="A37" workbookViewId="0"/>
  </sheetViews>
  <sheetFormatPr baseColWidth="10" defaultColWidth="9.140625" defaultRowHeight="15" x14ac:dyDescent="0.25"/>
  <cols>
    <col min="1" max="1" width="25.7109375" bestFit="1" customWidth="1"/>
    <col min="2" max="2" width="71.140625" bestFit="1" customWidth="1"/>
    <col min="3" max="3" width="9.28515625" bestFit="1" customWidth="1"/>
    <col min="4" max="4" width="6" bestFit="1" customWidth="1"/>
    <col min="5" max="5" width="8.140625" bestFit="1" customWidth="1"/>
    <col min="6" max="6" width="30.7109375" bestFit="1" customWidth="1"/>
    <col min="7" max="7" width="9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840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626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386</v>
      </c>
      <c r="B13" s="12" t="s">
        <v>444</v>
      </c>
      <c r="C13" s="7">
        <v>45962</v>
      </c>
      <c r="D13" s="12" t="s">
        <v>82</v>
      </c>
      <c r="E13" s="12" t="s">
        <v>22</v>
      </c>
      <c r="F13" s="12" t="s">
        <v>283</v>
      </c>
      <c r="G13" s="12" t="s">
        <v>98</v>
      </c>
      <c r="H13" s="12" t="s">
        <v>25</v>
      </c>
      <c r="I13" s="12" t="s">
        <v>841</v>
      </c>
      <c r="J13" s="12" t="s">
        <v>842</v>
      </c>
      <c r="K13" s="12" t="s">
        <v>390</v>
      </c>
      <c r="L13" s="12" t="s">
        <v>63</v>
      </c>
      <c r="M13" s="13">
        <v>1</v>
      </c>
      <c r="N13" s="13">
        <v>2.84</v>
      </c>
      <c r="O13" s="13">
        <v>149.58000000000001</v>
      </c>
    </row>
    <row r="14" spans="1:15" x14ac:dyDescent="0.25">
      <c r="A14" s="12" t="s">
        <v>386</v>
      </c>
      <c r="B14" s="12" t="s">
        <v>444</v>
      </c>
      <c r="C14" s="7">
        <v>45972</v>
      </c>
      <c r="D14" s="12" t="s">
        <v>82</v>
      </c>
      <c r="E14" s="12" t="s">
        <v>58</v>
      </c>
      <c r="F14" s="12" t="s">
        <v>283</v>
      </c>
      <c r="G14" s="12" t="s">
        <v>98</v>
      </c>
      <c r="H14" s="12" t="s">
        <v>25</v>
      </c>
      <c r="I14" s="12" t="s">
        <v>843</v>
      </c>
      <c r="J14" s="12" t="s">
        <v>844</v>
      </c>
      <c r="K14" s="12" t="s">
        <v>201</v>
      </c>
      <c r="L14" s="12" t="s">
        <v>202</v>
      </c>
      <c r="M14" s="13">
        <v>1</v>
      </c>
      <c r="N14" s="13">
        <v>3.62</v>
      </c>
      <c r="O14" s="13">
        <v>190.67</v>
      </c>
    </row>
    <row r="15" spans="1:15" x14ac:dyDescent="0.25">
      <c r="A15" s="14" t="s">
        <v>386</v>
      </c>
      <c r="B15" s="14" t="s">
        <v>444</v>
      </c>
      <c r="C15" s="7">
        <v>45991</v>
      </c>
      <c r="D15" s="14" t="s">
        <v>21</v>
      </c>
      <c r="E15" s="14" t="s">
        <v>85</v>
      </c>
      <c r="F15" s="14" t="s">
        <v>283</v>
      </c>
      <c r="G15" s="14" t="s">
        <v>98</v>
      </c>
      <c r="H15" s="14" t="s">
        <v>25</v>
      </c>
      <c r="I15" s="14" t="s">
        <v>845</v>
      </c>
      <c r="J15" s="14" t="s">
        <v>846</v>
      </c>
      <c r="K15" s="14" t="s">
        <v>393</v>
      </c>
      <c r="L15" s="14" t="s">
        <v>65</v>
      </c>
      <c r="M15" s="15">
        <v>1</v>
      </c>
      <c r="N15" s="15">
        <v>5.64</v>
      </c>
      <c r="O15" s="15">
        <v>297.06</v>
      </c>
    </row>
    <row r="16" spans="1:15" x14ac:dyDescent="0.25">
      <c r="A16" s="10" t="s">
        <v>1</v>
      </c>
      <c r="B16" s="10" t="s">
        <v>647</v>
      </c>
      <c r="C16" s="10" t="s">
        <v>1</v>
      </c>
      <c r="D16" s="10" t="s">
        <v>1</v>
      </c>
      <c r="E16" s="10" t="s">
        <v>1</v>
      </c>
      <c r="F16" s="10" t="s">
        <v>1</v>
      </c>
      <c r="G16" s="10" t="s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1">
        <v>3</v>
      </c>
      <c r="N16" s="11">
        <v>12.1</v>
      </c>
      <c r="O16" s="11">
        <v>637.30999999999995</v>
      </c>
    </row>
    <row r="17" spans="1:15" x14ac:dyDescent="0.25">
      <c r="B17" s="2" t="s">
        <v>1</v>
      </c>
    </row>
    <row r="18" spans="1:15" x14ac:dyDescent="0.25">
      <c r="B18" s="2" t="s">
        <v>385</v>
      </c>
    </row>
    <row r="19" spans="1:15" x14ac:dyDescent="0.25">
      <c r="B19" s="2" t="s">
        <v>1</v>
      </c>
    </row>
    <row r="20" spans="1:15" x14ac:dyDescent="0.25">
      <c r="A20" s="6" t="s">
        <v>4</v>
      </c>
      <c r="B20" s="6" t="s">
        <v>5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</row>
    <row r="21" spans="1:15" x14ac:dyDescent="0.25">
      <c r="A21" s="12" t="s">
        <v>386</v>
      </c>
      <c r="B21" s="12" t="s">
        <v>387</v>
      </c>
      <c r="C21" s="7">
        <v>45962</v>
      </c>
      <c r="D21" s="12" t="s">
        <v>82</v>
      </c>
      <c r="E21" s="12" t="s">
        <v>22</v>
      </c>
      <c r="F21" s="12" t="s">
        <v>283</v>
      </c>
      <c r="G21" s="12" t="s">
        <v>98</v>
      </c>
      <c r="H21" s="12" t="s">
        <v>25</v>
      </c>
      <c r="I21" s="12" t="s">
        <v>847</v>
      </c>
      <c r="J21" s="12" t="s">
        <v>848</v>
      </c>
      <c r="K21" s="12" t="s">
        <v>71</v>
      </c>
      <c r="L21" s="12" t="s">
        <v>63</v>
      </c>
      <c r="M21" s="13">
        <v>1</v>
      </c>
      <c r="N21" s="13">
        <v>3.52</v>
      </c>
      <c r="O21" s="13">
        <v>185.4</v>
      </c>
    </row>
    <row r="22" spans="1:15" x14ac:dyDescent="0.25">
      <c r="A22" s="12" t="s">
        <v>386</v>
      </c>
      <c r="B22" s="12" t="s">
        <v>387</v>
      </c>
      <c r="C22" s="7">
        <v>45962</v>
      </c>
      <c r="D22" s="12" t="s">
        <v>82</v>
      </c>
      <c r="E22" s="12" t="s">
        <v>22</v>
      </c>
      <c r="F22" s="12" t="s">
        <v>283</v>
      </c>
      <c r="G22" s="12" t="s">
        <v>98</v>
      </c>
      <c r="H22" s="12" t="s">
        <v>25</v>
      </c>
      <c r="I22" s="12" t="s">
        <v>849</v>
      </c>
      <c r="J22" s="12" t="s">
        <v>850</v>
      </c>
      <c r="K22" s="12" t="s">
        <v>71</v>
      </c>
      <c r="L22" s="12" t="s">
        <v>63</v>
      </c>
      <c r="M22" s="13">
        <v>1</v>
      </c>
      <c r="N22" s="13">
        <v>3.04</v>
      </c>
      <c r="O22" s="13">
        <v>160.12</v>
      </c>
    </row>
    <row r="23" spans="1:15" x14ac:dyDescent="0.25">
      <c r="A23" s="12" t="s">
        <v>386</v>
      </c>
      <c r="B23" s="12" t="s">
        <v>387</v>
      </c>
      <c r="C23" s="7">
        <v>45972</v>
      </c>
      <c r="D23" s="12" t="s">
        <v>82</v>
      </c>
      <c r="E23" s="12" t="s">
        <v>58</v>
      </c>
      <c r="F23" s="12" t="s">
        <v>283</v>
      </c>
      <c r="G23" s="12" t="s">
        <v>98</v>
      </c>
      <c r="H23" s="12" t="s">
        <v>25</v>
      </c>
      <c r="I23" s="12" t="s">
        <v>851</v>
      </c>
      <c r="J23" s="12" t="s">
        <v>852</v>
      </c>
      <c r="K23" s="12" t="s">
        <v>71</v>
      </c>
      <c r="L23" s="12" t="s">
        <v>63</v>
      </c>
      <c r="M23" s="13">
        <v>1</v>
      </c>
      <c r="N23" s="13">
        <v>3.12</v>
      </c>
      <c r="O23" s="13">
        <v>164.33</v>
      </c>
    </row>
    <row r="24" spans="1:15" x14ac:dyDescent="0.25">
      <c r="A24" s="14" t="s">
        <v>386</v>
      </c>
      <c r="B24" s="14" t="s">
        <v>387</v>
      </c>
      <c r="C24" s="7">
        <v>45984</v>
      </c>
      <c r="D24" s="14" t="s">
        <v>21</v>
      </c>
      <c r="E24" s="14" t="s">
        <v>85</v>
      </c>
      <c r="F24" s="14" t="s">
        <v>283</v>
      </c>
      <c r="G24" s="14" t="s">
        <v>98</v>
      </c>
      <c r="H24" s="14" t="s">
        <v>25</v>
      </c>
      <c r="I24" s="14" t="s">
        <v>853</v>
      </c>
      <c r="J24" s="14" t="s">
        <v>854</v>
      </c>
      <c r="K24" s="14" t="s">
        <v>393</v>
      </c>
      <c r="L24" s="14" t="s">
        <v>68</v>
      </c>
      <c r="M24" s="15">
        <v>1</v>
      </c>
      <c r="N24" s="15">
        <v>4.08</v>
      </c>
      <c r="O24" s="15">
        <v>214.89</v>
      </c>
    </row>
    <row r="25" spans="1:15" x14ac:dyDescent="0.25">
      <c r="A25" s="10" t="s">
        <v>1</v>
      </c>
      <c r="B25" s="10" t="s">
        <v>398</v>
      </c>
      <c r="C25" s="10" t="s">
        <v>1</v>
      </c>
      <c r="D25" s="10" t="s">
        <v>1</v>
      </c>
      <c r="E25" s="10" t="s">
        <v>1</v>
      </c>
      <c r="F25" s="10" t="s">
        <v>1</v>
      </c>
      <c r="G25" s="10" t="s">
        <v>1</v>
      </c>
      <c r="H25" s="10" t="s">
        <v>1</v>
      </c>
      <c r="I25" s="10" t="s">
        <v>1</v>
      </c>
      <c r="J25" s="10" t="s">
        <v>1</v>
      </c>
      <c r="K25" s="10" t="s">
        <v>1</v>
      </c>
      <c r="L25" s="10" t="s">
        <v>1</v>
      </c>
      <c r="M25" s="11">
        <v>4</v>
      </c>
      <c r="N25" s="11">
        <v>13.76</v>
      </c>
      <c r="O25" s="11">
        <v>724.74</v>
      </c>
    </row>
    <row r="26" spans="1:15" x14ac:dyDescent="0.25">
      <c r="B26" s="2" t="s">
        <v>1</v>
      </c>
    </row>
    <row r="27" spans="1:15" x14ac:dyDescent="0.25">
      <c r="B27" s="2" t="s">
        <v>399</v>
      </c>
    </row>
    <row r="28" spans="1:15" x14ac:dyDescent="0.25">
      <c r="B28" s="2" t="s">
        <v>1</v>
      </c>
    </row>
    <row r="29" spans="1:15" x14ac:dyDescent="0.25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H29" s="6" t="s">
        <v>11</v>
      </c>
      <c r="I29" s="6" t="s">
        <v>12</v>
      </c>
      <c r="J29" s="6" t="s">
        <v>13</v>
      </c>
      <c r="K29" s="6" t="s">
        <v>14</v>
      </c>
      <c r="L29" s="6" t="s">
        <v>15</v>
      </c>
      <c r="M29" s="6" t="s">
        <v>16</v>
      </c>
      <c r="N29" s="6" t="s">
        <v>17</v>
      </c>
      <c r="O29" s="6" t="s">
        <v>18</v>
      </c>
    </row>
    <row r="30" spans="1:15" x14ac:dyDescent="0.25">
      <c r="A30" s="14" t="s">
        <v>386</v>
      </c>
      <c r="B30" s="14" t="s">
        <v>400</v>
      </c>
      <c r="C30" s="7">
        <v>45970</v>
      </c>
      <c r="D30" s="14" t="s">
        <v>21</v>
      </c>
      <c r="E30" s="14" t="s">
        <v>85</v>
      </c>
      <c r="F30" s="14" t="s">
        <v>283</v>
      </c>
      <c r="G30" s="14" t="s">
        <v>98</v>
      </c>
      <c r="H30" s="14" t="s">
        <v>25</v>
      </c>
      <c r="I30" s="14" t="s">
        <v>855</v>
      </c>
      <c r="J30" s="14" t="s">
        <v>856</v>
      </c>
      <c r="K30" s="14" t="s">
        <v>105</v>
      </c>
      <c r="L30" s="14" t="s">
        <v>106</v>
      </c>
      <c r="M30" s="15">
        <v>1</v>
      </c>
      <c r="N30" s="15">
        <v>5.38</v>
      </c>
      <c r="O30" s="15">
        <v>283.37</v>
      </c>
    </row>
    <row r="31" spans="1:15" x14ac:dyDescent="0.25">
      <c r="A31" s="14" t="s">
        <v>386</v>
      </c>
      <c r="B31" s="14" t="s">
        <v>400</v>
      </c>
      <c r="C31" s="7">
        <v>45970</v>
      </c>
      <c r="D31" s="14" t="s">
        <v>21</v>
      </c>
      <c r="E31" s="14" t="s">
        <v>85</v>
      </c>
      <c r="F31" s="14" t="s">
        <v>283</v>
      </c>
      <c r="G31" s="14" t="s">
        <v>98</v>
      </c>
      <c r="H31" s="14" t="s">
        <v>25</v>
      </c>
      <c r="I31" s="14" t="s">
        <v>857</v>
      </c>
      <c r="J31" s="14" t="s">
        <v>858</v>
      </c>
      <c r="K31" s="14" t="s">
        <v>393</v>
      </c>
      <c r="L31" s="14" t="s">
        <v>63</v>
      </c>
      <c r="M31" s="15">
        <v>1</v>
      </c>
      <c r="N31" s="15">
        <v>4.18</v>
      </c>
      <c r="O31" s="15">
        <v>220.16</v>
      </c>
    </row>
    <row r="32" spans="1:15" x14ac:dyDescent="0.25">
      <c r="A32" s="12" t="s">
        <v>386</v>
      </c>
      <c r="B32" s="12" t="s">
        <v>400</v>
      </c>
      <c r="C32" s="7">
        <v>45972</v>
      </c>
      <c r="D32" s="12" t="s">
        <v>82</v>
      </c>
      <c r="E32" s="12" t="s">
        <v>58</v>
      </c>
      <c r="F32" s="12" t="s">
        <v>283</v>
      </c>
      <c r="G32" s="12" t="s">
        <v>98</v>
      </c>
      <c r="H32" s="12" t="s">
        <v>25</v>
      </c>
      <c r="I32" s="12" t="s">
        <v>859</v>
      </c>
      <c r="J32" s="12" t="s">
        <v>860</v>
      </c>
      <c r="K32" s="12" t="s">
        <v>71</v>
      </c>
      <c r="L32" s="12" t="s">
        <v>63</v>
      </c>
      <c r="M32" s="13">
        <v>1</v>
      </c>
      <c r="N32" s="13">
        <v>4.5599999999999996</v>
      </c>
      <c r="O32" s="13">
        <v>240.18</v>
      </c>
    </row>
    <row r="33" spans="1:15" x14ac:dyDescent="0.25">
      <c r="A33" s="14" t="s">
        <v>386</v>
      </c>
      <c r="B33" s="14" t="s">
        <v>400</v>
      </c>
      <c r="C33" s="7">
        <v>45977</v>
      </c>
      <c r="D33" s="14" t="s">
        <v>21</v>
      </c>
      <c r="E33" s="14" t="s">
        <v>85</v>
      </c>
      <c r="F33" s="14" t="s">
        <v>283</v>
      </c>
      <c r="G33" s="14" t="s">
        <v>98</v>
      </c>
      <c r="H33" s="14" t="s">
        <v>25</v>
      </c>
      <c r="I33" s="14" t="s">
        <v>861</v>
      </c>
      <c r="J33" s="14" t="s">
        <v>862</v>
      </c>
      <c r="K33" s="14" t="s">
        <v>393</v>
      </c>
      <c r="L33" s="14" t="s">
        <v>65</v>
      </c>
      <c r="M33" s="15">
        <v>1</v>
      </c>
      <c r="N33" s="15">
        <v>4.12</v>
      </c>
      <c r="O33" s="15">
        <v>217</v>
      </c>
    </row>
    <row r="34" spans="1:15" x14ac:dyDescent="0.25">
      <c r="A34" s="10" t="s">
        <v>1</v>
      </c>
      <c r="B34" s="10" t="s">
        <v>415</v>
      </c>
      <c r="C34" s="10" t="s">
        <v>1</v>
      </c>
      <c r="D34" s="10" t="s">
        <v>1</v>
      </c>
      <c r="E34" s="10" t="s">
        <v>1</v>
      </c>
      <c r="F34" s="10" t="s">
        <v>1</v>
      </c>
      <c r="G34" s="10" t="s">
        <v>1</v>
      </c>
      <c r="H34" s="10" t="s">
        <v>1</v>
      </c>
      <c r="I34" s="10" t="s">
        <v>1</v>
      </c>
      <c r="J34" s="10" t="s">
        <v>1</v>
      </c>
      <c r="K34" s="10" t="s">
        <v>1</v>
      </c>
      <c r="L34" s="10" t="s">
        <v>1</v>
      </c>
      <c r="M34" s="11">
        <v>4</v>
      </c>
      <c r="N34" s="11">
        <v>18.239999999999998</v>
      </c>
      <c r="O34" s="11">
        <v>960.71</v>
      </c>
    </row>
    <row r="35" spans="1:15" x14ac:dyDescent="0.25">
      <c r="B35" s="2" t="s">
        <v>1</v>
      </c>
    </row>
    <row r="36" spans="1:15" x14ac:dyDescent="0.25">
      <c r="B36" s="2" t="s">
        <v>416</v>
      </c>
    </row>
    <row r="37" spans="1:15" x14ac:dyDescent="0.25">
      <c r="B37" s="2" t="s">
        <v>1</v>
      </c>
    </row>
    <row r="38" spans="1:15" x14ac:dyDescent="0.25">
      <c r="A38" s="6" t="s">
        <v>4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  <c r="G38" s="6" t="s">
        <v>10</v>
      </c>
      <c r="H38" s="6" t="s">
        <v>11</v>
      </c>
      <c r="I38" s="6" t="s">
        <v>12</v>
      </c>
      <c r="J38" s="6" t="s">
        <v>13</v>
      </c>
      <c r="K38" s="6" t="s">
        <v>14</v>
      </c>
      <c r="L38" s="6" t="s">
        <v>15</v>
      </c>
      <c r="M38" s="6" t="s">
        <v>16</v>
      </c>
      <c r="N38" s="6" t="s">
        <v>17</v>
      </c>
      <c r="O38" s="6" t="s">
        <v>18</v>
      </c>
    </row>
    <row r="39" spans="1:15" x14ac:dyDescent="0.25">
      <c r="A39" s="12" t="s">
        <v>386</v>
      </c>
      <c r="B39" s="12" t="s">
        <v>417</v>
      </c>
      <c r="C39" s="7">
        <v>45962</v>
      </c>
      <c r="D39" s="12" t="s">
        <v>82</v>
      </c>
      <c r="E39" s="12" t="s">
        <v>22</v>
      </c>
      <c r="F39" s="12" t="s">
        <v>283</v>
      </c>
      <c r="G39" s="12" t="s">
        <v>98</v>
      </c>
      <c r="H39" s="12" t="s">
        <v>25</v>
      </c>
      <c r="I39" s="12" t="s">
        <v>863</v>
      </c>
      <c r="J39" s="12" t="s">
        <v>864</v>
      </c>
      <c r="K39" s="12" t="s">
        <v>452</v>
      </c>
      <c r="L39" s="12" t="s">
        <v>47</v>
      </c>
      <c r="M39" s="13">
        <v>1</v>
      </c>
      <c r="N39" s="13">
        <v>2.82</v>
      </c>
      <c r="O39" s="13">
        <v>148.53</v>
      </c>
    </row>
    <row r="40" spans="1:15" x14ac:dyDescent="0.25">
      <c r="A40" s="12" t="s">
        <v>386</v>
      </c>
      <c r="B40" s="12" t="s">
        <v>417</v>
      </c>
      <c r="C40" s="7">
        <v>45962</v>
      </c>
      <c r="D40" s="12" t="s">
        <v>82</v>
      </c>
      <c r="E40" s="12" t="s">
        <v>22</v>
      </c>
      <c r="F40" s="12" t="s">
        <v>283</v>
      </c>
      <c r="G40" s="12" t="s">
        <v>98</v>
      </c>
      <c r="H40" s="12" t="s">
        <v>25</v>
      </c>
      <c r="I40" s="12" t="s">
        <v>865</v>
      </c>
      <c r="J40" s="12" t="s">
        <v>866</v>
      </c>
      <c r="K40" s="12" t="s">
        <v>452</v>
      </c>
      <c r="L40" s="12" t="s">
        <v>47</v>
      </c>
      <c r="M40" s="13">
        <v>1</v>
      </c>
      <c r="N40" s="13">
        <v>2.62</v>
      </c>
      <c r="O40" s="13">
        <v>138</v>
      </c>
    </row>
    <row r="41" spans="1:15" x14ac:dyDescent="0.25">
      <c r="A41" s="14" t="s">
        <v>386</v>
      </c>
      <c r="B41" s="14" t="s">
        <v>417</v>
      </c>
      <c r="C41" s="7">
        <v>45963</v>
      </c>
      <c r="D41" s="14" t="s">
        <v>21</v>
      </c>
      <c r="E41" s="14" t="s">
        <v>85</v>
      </c>
      <c r="F41" s="14" t="s">
        <v>283</v>
      </c>
      <c r="G41" s="14" t="s">
        <v>98</v>
      </c>
      <c r="H41" s="14" t="s">
        <v>25</v>
      </c>
      <c r="I41" s="14" t="s">
        <v>867</v>
      </c>
      <c r="J41" s="14" t="s">
        <v>868</v>
      </c>
      <c r="K41" s="14" t="s">
        <v>393</v>
      </c>
      <c r="L41" s="14" t="s">
        <v>68</v>
      </c>
      <c r="M41" s="15">
        <v>1</v>
      </c>
      <c r="N41" s="15">
        <v>3.6</v>
      </c>
      <c r="O41" s="15">
        <v>189.61</v>
      </c>
    </row>
    <row r="42" spans="1:15" x14ac:dyDescent="0.25">
      <c r="A42" s="14" t="s">
        <v>386</v>
      </c>
      <c r="B42" s="14" t="s">
        <v>417</v>
      </c>
      <c r="C42" s="7">
        <v>45970</v>
      </c>
      <c r="D42" s="14" t="s">
        <v>21</v>
      </c>
      <c r="E42" s="14" t="s">
        <v>85</v>
      </c>
      <c r="F42" s="14" t="s">
        <v>283</v>
      </c>
      <c r="G42" s="14" t="s">
        <v>98</v>
      </c>
      <c r="H42" s="14" t="s">
        <v>25</v>
      </c>
      <c r="I42" s="14" t="s">
        <v>869</v>
      </c>
      <c r="J42" s="14" t="s">
        <v>870</v>
      </c>
      <c r="K42" s="14" t="s">
        <v>105</v>
      </c>
      <c r="L42" s="14" t="s">
        <v>106</v>
      </c>
      <c r="M42" s="15">
        <v>1</v>
      </c>
      <c r="N42" s="15">
        <v>3.28</v>
      </c>
      <c r="O42" s="15">
        <v>172.76</v>
      </c>
    </row>
    <row r="43" spans="1:15" x14ac:dyDescent="0.25">
      <c r="A43" s="14" t="s">
        <v>386</v>
      </c>
      <c r="B43" s="14" t="s">
        <v>417</v>
      </c>
      <c r="C43" s="7">
        <v>45970</v>
      </c>
      <c r="D43" s="14" t="s">
        <v>21</v>
      </c>
      <c r="E43" s="14" t="s">
        <v>85</v>
      </c>
      <c r="F43" s="14" t="s">
        <v>283</v>
      </c>
      <c r="G43" s="14" t="s">
        <v>98</v>
      </c>
      <c r="H43" s="14" t="s">
        <v>25</v>
      </c>
      <c r="I43" s="14" t="s">
        <v>871</v>
      </c>
      <c r="J43" s="14" t="s">
        <v>872</v>
      </c>
      <c r="K43" s="14" t="s">
        <v>393</v>
      </c>
      <c r="L43" s="14" t="s">
        <v>63</v>
      </c>
      <c r="M43" s="15">
        <v>1</v>
      </c>
      <c r="N43" s="15">
        <v>1.66</v>
      </c>
      <c r="O43" s="15">
        <v>87.43</v>
      </c>
    </row>
    <row r="44" spans="1:15" x14ac:dyDescent="0.25">
      <c r="A44" s="12" t="s">
        <v>386</v>
      </c>
      <c r="B44" s="12" t="s">
        <v>417</v>
      </c>
      <c r="C44" s="7">
        <v>45972</v>
      </c>
      <c r="D44" s="12" t="s">
        <v>82</v>
      </c>
      <c r="E44" s="12" t="s">
        <v>58</v>
      </c>
      <c r="F44" s="12" t="s">
        <v>283</v>
      </c>
      <c r="G44" s="12" t="s">
        <v>98</v>
      </c>
      <c r="H44" s="12" t="s">
        <v>25</v>
      </c>
      <c r="I44" s="12" t="s">
        <v>873</v>
      </c>
      <c r="J44" s="12" t="s">
        <v>874</v>
      </c>
      <c r="K44" s="12" t="s">
        <v>201</v>
      </c>
      <c r="L44" s="12" t="s">
        <v>202</v>
      </c>
      <c r="M44" s="13">
        <v>1</v>
      </c>
      <c r="N44" s="13">
        <v>4.08</v>
      </c>
      <c r="O44" s="13">
        <v>214.89</v>
      </c>
    </row>
    <row r="45" spans="1:15" x14ac:dyDescent="0.25">
      <c r="A45" s="14" t="s">
        <v>386</v>
      </c>
      <c r="B45" s="14" t="s">
        <v>417</v>
      </c>
      <c r="C45" s="7">
        <v>45977</v>
      </c>
      <c r="D45" s="14" t="s">
        <v>21</v>
      </c>
      <c r="E45" s="14" t="s">
        <v>85</v>
      </c>
      <c r="F45" s="14" t="s">
        <v>283</v>
      </c>
      <c r="G45" s="14" t="s">
        <v>98</v>
      </c>
      <c r="H45" s="14" t="s">
        <v>25</v>
      </c>
      <c r="I45" s="14" t="s">
        <v>875</v>
      </c>
      <c r="J45" s="14" t="s">
        <v>876</v>
      </c>
      <c r="K45" s="14" t="s">
        <v>393</v>
      </c>
      <c r="L45" s="14" t="s">
        <v>65</v>
      </c>
      <c r="M45" s="15">
        <v>1</v>
      </c>
      <c r="N45" s="15">
        <v>4.04</v>
      </c>
      <c r="O45" s="15">
        <v>212.79</v>
      </c>
    </row>
    <row r="46" spans="1:15" x14ac:dyDescent="0.25">
      <c r="A46" s="14" t="s">
        <v>386</v>
      </c>
      <c r="B46" s="14" t="s">
        <v>417</v>
      </c>
      <c r="C46" s="7">
        <v>45977</v>
      </c>
      <c r="D46" s="14" t="s">
        <v>21</v>
      </c>
      <c r="E46" s="14" t="s">
        <v>85</v>
      </c>
      <c r="F46" s="14" t="s">
        <v>283</v>
      </c>
      <c r="G46" s="14" t="s">
        <v>98</v>
      </c>
      <c r="H46" s="14" t="s">
        <v>25</v>
      </c>
      <c r="I46" s="14" t="s">
        <v>877</v>
      </c>
      <c r="J46" s="14" t="s">
        <v>878</v>
      </c>
      <c r="K46" s="14" t="s">
        <v>393</v>
      </c>
      <c r="L46" s="14" t="s">
        <v>65</v>
      </c>
      <c r="M46" s="15">
        <v>1</v>
      </c>
      <c r="N46" s="15">
        <v>2.68</v>
      </c>
      <c r="O46" s="15">
        <v>141.16</v>
      </c>
    </row>
    <row r="47" spans="1:15" x14ac:dyDescent="0.25">
      <c r="A47" s="14" t="s">
        <v>386</v>
      </c>
      <c r="B47" s="14" t="s">
        <v>417</v>
      </c>
      <c r="C47" s="7">
        <v>45984</v>
      </c>
      <c r="D47" s="14" t="s">
        <v>21</v>
      </c>
      <c r="E47" s="14" t="s">
        <v>85</v>
      </c>
      <c r="F47" s="14" t="s">
        <v>283</v>
      </c>
      <c r="G47" s="14" t="s">
        <v>98</v>
      </c>
      <c r="H47" s="14" t="s">
        <v>25</v>
      </c>
      <c r="I47" s="14" t="s">
        <v>879</v>
      </c>
      <c r="J47" s="14" t="s">
        <v>880</v>
      </c>
      <c r="K47" s="14" t="s">
        <v>393</v>
      </c>
      <c r="L47" s="14" t="s">
        <v>68</v>
      </c>
      <c r="M47" s="15">
        <v>1</v>
      </c>
      <c r="N47" s="15">
        <v>3.96</v>
      </c>
      <c r="O47" s="15">
        <v>208.57</v>
      </c>
    </row>
    <row r="48" spans="1:15" x14ac:dyDescent="0.25">
      <c r="A48" s="14" t="s">
        <v>386</v>
      </c>
      <c r="B48" s="14" t="s">
        <v>417</v>
      </c>
      <c r="C48" s="7">
        <v>45991</v>
      </c>
      <c r="D48" s="14" t="s">
        <v>21</v>
      </c>
      <c r="E48" s="14" t="s">
        <v>85</v>
      </c>
      <c r="F48" s="14" t="s">
        <v>283</v>
      </c>
      <c r="G48" s="14" t="s">
        <v>98</v>
      </c>
      <c r="H48" s="14" t="s">
        <v>25</v>
      </c>
      <c r="I48" s="14" t="s">
        <v>881</v>
      </c>
      <c r="J48" s="14" t="s">
        <v>882</v>
      </c>
      <c r="K48" s="14" t="s">
        <v>393</v>
      </c>
      <c r="L48" s="14" t="s">
        <v>65</v>
      </c>
      <c r="M48" s="15">
        <v>1</v>
      </c>
      <c r="N48" s="15">
        <v>3.74</v>
      </c>
      <c r="O48" s="15">
        <v>196.99</v>
      </c>
    </row>
    <row r="49" spans="1:15" x14ac:dyDescent="0.25">
      <c r="A49" s="10" t="s">
        <v>1</v>
      </c>
      <c r="B49" s="10" t="s">
        <v>423</v>
      </c>
      <c r="C49" s="10" t="s">
        <v>1</v>
      </c>
      <c r="D49" s="10" t="s">
        <v>1</v>
      </c>
      <c r="E49" s="10" t="s">
        <v>1</v>
      </c>
      <c r="F49" s="10" t="s">
        <v>1</v>
      </c>
      <c r="G49" s="10" t="s">
        <v>1</v>
      </c>
      <c r="H49" s="10" t="s">
        <v>1</v>
      </c>
      <c r="I49" s="10" t="s">
        <v>1</v>
      </c>
      <c r="J49" s="10" t="s">
        <v>1</v>
      </c>
      <c r="K49" s="10" t="s">
        <v>1</v>
      </c>
      <c r="L49" s="10" t="s">
        <v>1</v>
      </c>
      <c r="M49" s="11">
        <v>10</v>
      </c>
      <c r="N49" s="11">
        <v>32.479999999999997</v>
      </c>
      <c r="O49" s="11">
        <v>1710.73</v>
      </c>
    </row>
    <row r="50" spans="1:15" x14ac:dyDescent="0.25">
      <c r="B50" s="2" t="s">
        <v>1</v>
      </c>
    </row>
    <row r="51" spans="1:15" x14ac:dyDescent="0.25">
      <c r="B51" s="2" t="s">
        <v>712</v>
      </c>
    </row>
    <row r="52" spans="1:15" x14ac:dyDescent="0.25">
      <c r="B52" s="2" t="s">
        <v>1</v>
      </c>
    </row>
    <row r="53" spans="1:15" x14ac:dyDescent="0.25">
      <c r="A53" s="6" t="s">
        <v>4</v>
      </c>
      <c r="B53" s="6" t="s">
        <v>5</v>
      </c>
      <c r="C53" s="6" t="s">
        <v>6</v>
      </c>
      <c r="D53" s="6" t="s">
        <v>7</v>
      </c>
      <c r="E53" s="6" t="s">
        <v>8</v>
      </c>
      <c r="F53" s="6" t="s">
        <v>9</v>
      </c>
      <c r="G53" s="6" t="s">
        <v>10</v>
      </c>
      <c r="H53" s="6" t="s">
        <v>11</v>
      </c>
      <c r="I53" s="6" t="s">
        <v>12</v>
      </c>
      <c r="J53" s="6" t="s">
        <v>13</v>
      </c>
      <c r="K53" s="6" t="s">
        <v>14</v>
      </c>
      <c r="L53" s="6" t="s">
        <v>15</v>
      </c>
      <c r="M53" s="6" t="s">
        <v>16</v>
      </c>
      <c r="N53" s="6" t="s">
        <v>17</v>
      </c>
      <c r="O53" s="6" t="s">
        <v>18</v>
      </c>
    </row>
    <row r="54" spans="1:15" x14ac:dyDescent="0.25">
      <c r="A54" s="12" t="s">
        <v>386</v>
      </c>
      <c r="B54" s="12" t="s">
        <v>713</v>
      </c>
      <c r="C54" s="7">
        <v>45962</v>
      </c>
      <c r="D54" s="12" t="s">
        <v>82</v>
      </c>
      <c r="E54" s="12" t="s">
        <v>22</v>
      </c>
      <c r="F54" s="12" t="s">
        <v>283</v>
      </c>
      <c r="G54" s="12" t="s">
        <v>98</v>
      </c>
      <c r="H54" s="12" t="s">
        <v>25</v>
      </c>
      <c r="I54" s="12" t="s">
        <v>883</v>
      </c>
      <c r="J54" s="12" t="s">
        <v>884</v>
      </c>
      <c r="K54" s="12" t="s">
        <v>390</v>
      </c>
      <c r="L54" s="12" t="s">
        <v>63</v>
      </c>
      <c r="M54" s="13">
        <v>1</v>
      </c>
      <c r="N54" s="13">
        <v>3.86</v>
      </c>
      <c r="O54" s="13">
        <v>203.31</v>
      </c>
    </row>
    <row r="55" spans="1:15" x14ac:dyDescent="0.25">
      <c r="A55" s="10" t="s">
        <v>1</v>
      </c>
      <c r="B55" s="10" t="s">
        <v>762</v>
      </c>
      <c r="C55" s="10" t="s">
        <v>1</v>
      </c>
      <c r="D55" s="10" t="s">
        <v>1</v>
      </c>
      <c r="E55" s="10" t="s">
        <v>1</v>
      </c>
      <c r="F55" s="10" t="s">
        <v>1</v>
      </c>
      <c r="G55" s="10" t="s">
        <v>1</v>
      </c>
      <c r="H55" s="10" t="s">
        <v>1</v>
      </c>
      <c r="I55" s="10" t="s">
        <v>1</v>
      </c>
      <c r="J55" s="10" t="s">
        <v>1</v>
      </c>
      <c r="K55" s="10" t="s">
        <v>1</v>
      </c>
      <c r="L55" s="10" t="s">
        <v>1</v>
      </c>
      <c r="M55" s="11">
        <v>1</v>
      </c>
      <c r="N55" s="11">
        <v>3.86</v>
      </c>
      <c r="O55" s="11">
        <v>203.31</v>
      </c>
    </row>
    <row r="56" spans="1:15" x14ac:dyDescent="0.25">
      <c r="B56" s="2" t="s">
        <v>1</v>
      </c>
    </row>
    <row r="57" spans="1:15" x14ac:dyDescent="0.25">
      <c r="B57" s="2" t="s">
        <v>433</v>
      </c>
    </row>
    <row r="58" spans="1:15" x14ac:dyDescent="0.25">
      <c r="B58" s="2" t="s">
        <v>1</v>
      </c>
    </row>
    <row r="59" spans="1:15" x14ac:dyDescent="0.25">
      <c r="A59" s="6" t="s">
        <v>4</v>
      </c>
      <c r="B59" s="6" t="s">
        <v>5</v>
      </c>
      <c r="C59" s="6" t="s">
        <v>6</v>
      </c>
      <c r="D59" s="6" t="s">
        <v>7</v>
      </c>
      <c r="E59" s="6" t="s">
        <v>8</v>
      </c>
      <c r="F59" s="6" t="s">
        <v>9</v>
      </c>
      <c r="G59" s="6" t="s">
        <v>10</v>
      </c>
      <c r="H59" s="6" t="s">
        <v>11</v>
      </c>
      <c r="I59" s="6" t="s">
        <v>12</v>
      </c>
      <c r="J59" s="6" t="s">
        <v>13</v>
      </c>
      <c r="K59" s="6" t="s">
        <v>14</v>
      </c>
      <c r="L59" s="6" t="s">
        <v>15</v>
      </c>
      <c r="M59" s="6" t="s">
        <v>16</v>
      </c>
      <c r="N59" s="6" t="s">
        <v>17</v>
      </c>
      <c r="O59" s="6" t="s">
        <v>18</v>
      </c>
    </row>
    <row r="60" spans="1:15" x14ac:dyDescent="0.25">
      <c r="A60" s="12" t="s">
        <v>386</v>
      </c>
      <c r="B60" s="12" t="s">
        <v>434</v>
      </c>
      <c r="C60" s="7">
        <v>45962</v>
      </c>
      <c r="D60" s="12" t="s">
        <v>82</v>
      </c>
      <c r="E60" s="12" t="s">
        <v>22</v>
      </c>
      <c r="F60" s="12" t="s">
        <v>283</v>
      </c>
      <c r="G60" s="12" t="s">
        <v>98</v>
      </c>
      <c r="H60" s="12" t="s">
        <v>25</v>
      </c>
      <c r="I60" s="12" t="s">
        <v>885</v>
      </c>
      <c r="J60" s="12" t="s">
        <v>886</v>
      </c>
      <c r="K60" s="12" t="s">
        <v>452</v>
      </c>
      <c r="L60" s="12" t="s">
        <v>47</v>
      </c>
      <c r="M60" s="13">
        <v>1</v>
      </c>
      <c r="N60" s="13">
        <v>1.98</v>
      </c>
      <c r="O60" s="13">
        <v>104.29</v>
      </c>
    </row>
    <row r="61" spans="1:15" x14ac:dyDescent="0.25">
      <c r="A61" s="12" t="s">
        <v>386</v>
      </c>
      <c r="B61" s="12" t="s">
        <v>434</v>
      </c>
      <c r="C61" s="7">
        <v>45972</v>
      </c>
      <c r="D61" s="12" t="s">
        <v>82</v>
      </c>
      <c r="E61" s="12" t="s">
        <v>58</v>
      </c>
      <c r="F61" s="12" t="s">
        <v>283</v>
      </c>
      <c r="G61" s="12" t="s">
        <v>98</v>
      </c>
      <c r="H61" s="12" t="s">
        <v>25</v>
      </c>
      <c r="I61" s="12" t="s">
        <v>887</v>
      </c>
      <c r="J61" s="12" t="s">
        <v>888</v>
      </c>
      <c r="K61" s="12" t="s">
        <v>403</v>
      </c>
      <c r="L61" s="12" t="s">
        <v>404</v>
      </c>
      <c r="M61" s="13">
        <v>1</v>
      </c>
      <c r="N61" s="13">
        <v>4.6399999999999997</v>
      </c>
      <c r="O61" s="13">
        <v>244.39</v>
      </c>
    </row>
    <row r="62" spans="1:15" x14ac:dyDescent="0.25">
      <c r="A62" s="14" t="s">
        <v>386</v>
      </c>
      <c r="B62" s="14" t="s">
        <v>434</v>
      </c>
      <c r="C62" s="7">
        <v>45977</v>
      </c>
      <c r="D62" s="14" t="s">
        <v>21</v>
      </c>
      <c r="E62" s="14" t="s">
        <v>85</v>
      </c>
      <c r="F62" s="14" t="s">
        <v>283</v>
      </c>
      <c r="G62" s="14" t="s">
        <v>98</v>
      </c>
      <c r="H62" s="14" t="s">
        <v>25</v>
      </c>
      <c r="I62" s="14" t="s">
        <v>889</v>
      </c>
      <c r="J62" s="14" t="s">
        <v>890</v>
      </c>
      <c r="K62" s="14" t="s">
        <v>393</v>
      </c>
      <c r="L62" s="14" t="s">
        <v>65</v>
      </c>
      <c r="M62" s="15">
        <v>1</v>
      </c>
      <c r="N62" s="15">
        <v>2.62</v>
      </c>
      <c r="O62" s="15">
        <v>138</v>
      </c>
    </row>
    <row r="63" spans="1:15" x14ac:dyDescent="0.25">
      <c r="A63" s="10" t="s">
        <v>1</v>
      </c>
      <c r="B63" s="10" t="s">
        <v>442</v>
      </c>
      <c r="C63" s="10" t="s">
        <v>1</v>
      </c>
      <c r="D63" s="10" t="s">
        <v>1</v>
      </c>
      <c r="E63" s="10" t="s">
        <v>1</v>
      </c>
      <c r="F63" s="10" t="s">
        <v>1</v>
      </c>
      <c r="G63" s="10" t="s">
        <v>1</v>
      </c>
      <c r="H63" s="10" t="s">
        <v>1</v>
      </c>
      <c r="I63" s="10" t="s">
        <v>1</v>
      </c>
      <c r="J63" s="10" t="s">
        <v>1</v>
      </c>
      <c r="K63" s="10" t="s">
        <v>1</v>
      </c>
      <c r="L63" s="10" t="s">
        <v>1</v>
      </c>
      <c r="M63" s="11">
        <v>3</v>
      </c>
      <c r="N63" s="11">
        <v>9.24</v>
      </c>
      <c r="O63" s="11">
        <v>486.68</v>
      </c>
    </row>
    <row r="64" spans="1:15" x14ac:dyDescent="0.25">
      <c r="A64" s="5" t="s">
        <v>1</v>
      </c>
      <c r="B64" s="5" t="s">
        <v>291</v>
      </c>
      <c r="C64" s="5" t="s">
        <v>1</v>
      </c>
      <c r="D64" s="5" t="s">
        <v>1</v>
      </c>
      <c r="E64" s="5" t="s">
        <v>1</v>
      </c>
      <c r="F64" s="5" t="s">
        <v>1</v>
      </c>
      <c r="G64" s="5" t="s">
        <v>1</v>
      </c>
      <c r="H64" s="5" t="s">
        <v>1</v>
      </c>
      <c r="I64" s="5" t="s">
        <v>1</v>
      </c>
      <c r="J64" s="5" t="s">
        <v>1</v>
      </c>
      <c r="K64" s="5" t="s">
        <v>1</v>
      </c>
      <c r="L64" s="5" t="s">
        <v>1</v>
      </c>
      <c r="M64" s="8">
        <v>25</v>
      </c>
      <c r="N64" s="9">
        <v>89.68</v>
      </c>
      <c r="O64" s="8">
        <v>4723.4799999999996</v>
      </c>
    </row>
    <row r="65" spans="1:15" x14ac:dyDescent="0.25">
      <c r="A65" s="10" t="s">
        <v>1</v>
      </c>
      <c r="B65" s="10" t="s">
        <v>891</v>
      </c>
      <c r="C65" s="10" t="s">
        <v>1</v>
      </c>
      <c r="D65" s="10" t="s">
        <v>1</v>
      </c>
      <c r="E65" s="10" t="s">
        <v>1</v>
      </c>
      <c r="F65" s="10" t="s">
        <v>1</v>
      </c>
      <c r="G65" s="10" t="s">
        <v>1</v>
      </c>
      <c r="H65" s="10" t="s">
        <v>1</v>
      </c>
      <c r="I65" s="10" t="s">
        <v>1</v>
      </c>
      <c r="J65" s="10" t="s">
        <v>1</v>
      </c>
      <c r="K65" s="10" t="s">
        <v>1</v>
      </c>
      <c r="L65" s="10" t="s">
        <v>1</v>
      </c>
      <c r="M65" s="11">
        <v>25</v>
      </c>
      <c r="N65" s="11">
        <v>89.68</v>
      </c>
      <c r="O65" s="11">
        <v>4723.4799999999996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46"/>
  <sheetViews>
    <sheetView topLeftCell="A13" workbookViewId="0"/>
  </sheetViews>
  <sheetFormatPr baseColWidth="10" defaultColWidth="9.140625" defaultRowHeight="15" x14ac:dyDescent="0.25"/>
  <cols>
    <col min="1" max="1" width="25.7109375" bestFit="1" customWidth="1"/>
    <col min="2" max="2" width="52.5703125" bestFit="1" customWidth="1"/>
    <col min="3" max="3" width="9.28515625" bestFit="1" customWidth="1"/>
    <col min="4" max="4" width="6" bestFit="1" customWidth="1"/>
    <col min="5" max="5" width="7.5703125" bestFit="1" customWidth="1"/>
    <col min="6" max="6" width="15.85546875" bestFit="1" customWidth="1"/>
    <col min="7" max="7" width="9.42578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10.425781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892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893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425</v>
      </c>
      <c r="C13" s="4">
        <v>45971</v>
      </c>
      <c r="D13" s="3" t="s">
        <v>21</v>
      </c>
      <c r="E13" s="3" t="s">
        <v>38</v>
      </c>
      <c r="F13" s="3" t="s">
        <v>294</v>
      </c>
      <c r="G13" s="3" t="s">
        <v>98</v>
      </c>
      <c r="H13" s="3" t="s">
        <v>894</v>
      </c>
      <c r="I13" s="3" t="s">
        <v>895</v>
      </c>
      <c r="J13" s="3" t="s">
        <v>896</v>
      </c>
      <c r="K13" s="3" t="s">
        <v>403</v>
      </c>
      <c r="L13" s="3" t="s">
        <v>404</v>
      </c>
      <c r="M13" s="8">
        <v>1</v>
      </c>
      <c r="N13" s="9">
        <v>2.92</v>
      </c>
      <c r="O13" s="8">
        <v>110.26</v>
      </c>
    </row>
    <row r="14" spans="1:15" x14ac:dyDescent="0.25">
      <c r="A14" s="3" t="s">
        <v>386</v>
      </c>
      <c r="B14" s="3" t="s">
        <v>425</v>
      </c>
      <c r="C14" s="4">
        <v>45985</v>
      </c>
      <c r="D14" s="3" t="s">
        <v>21</v>
      </c>
      <c r="E14" s="3" t="s">
        <v>38</v>
      </c>
      <c r="F14" s="3" t="s">
        <v>294</v>
      </c>
      <c r="G14" s="3" t="s">
        <v>98</v>
      </c>
      <c r="H14" s="3" t="s">
        <v>894</v>
      </c>
      <c r="I14" s="3" t="s">
        <v>897</v>
      </c>
      <c r="J14" s="3" t="s">
        <v>898</v>
      </c>
      <c r="K14" s="3" t="s">
        <v>403</v>
      </c>
      <c r="L14" s="3" t="s">
        <v>404</v>
      </c>
      <c r="M14" s="8">
        <v>1</v>
      </c>
      <c r="N14" s="9">
        <v>5.28</v>
      </c>
      <c r="O14" s="8">
        <v>199.37</v>
      </c>
    </row>
    <row r="15" spans="1:15" x14ac:dyDescent="0.25">
      <c r="A15" s="10" t="s">
        <v>1</v>
      </c>
      <c r="B15" s="10" t="s">
        <v>899</v>
      </c>
      <c r="C15" s="10" t="s">
        <v>1</v>
      </c>
      <c r="D15" s="10" t="s">
        <v>1</v>
      </c>
      <c r="E15" s="10" t="s">
        <v>1</v>
      </c>
      <c r="F15" s="10" t="s">
        <v>1</v>
      </c>
      <c r="G15" s="10" t="s">
        <v>1</v>
      </c>
      <c r="H15" s="10" t="s">
        <v>1</v>
      </c>
      <c r="I15" s="10" t="s">
        <v>1</v>
      </c>
      <c r="J15" s="10" t="s">
        <v>1</v>
      </c>
      <c r="K15" s="10" t="s">
        <v>1</v>
      </c>
      <c r="L15" s="10" t="s">
        <v>1</v>
      </c>
      <c r="M15" s="11">
        <v>2</v>
      </c>
      <c r="N15" s="11">
        <v>8.1999999999999993</v>
      </c>
      <c r="O15" s="11">
        <v>309.63</v>
      </c>
    </row>
    <row r="16" spans="1:15" x14ac:dyDescent="0.25">
      <c r="A16" s="5" t="s">
        <v>1</v>
      </c>
      <c r="B16" s="5" t="s">
        <v>303</v>
      </c>
      <c r="C16" s="5" t="s">
        <v>1</v>
      </c>
      <c r="D16" s="5" t="s">
        <v>1</v>
      </c>
      <c r="E16" s="5" t="s">
        <v>1</v>
      </c>
      <c r="F16" s="5" t="s">
        <v>1</v>
      </c>
      <c r="G16" s="5" t="s">
        <v>1</v>
      </c>
      <c r="H16" s="5" t="s">
        <v>1</v>
      </c>
      <c r="I16" s="5" t="s">
        <v>1</v>
      </c>
      <c r="J16" s="5" t="s">
        <v>1</v>
      </c>
      <c r="K16" s="5" t="s">
        <v>1</v>
      </c>
      <c r="L16" s="5" t="s">
        <v>1</v>
      </c>
      <c r="M16" s="8">
        <v>2</v>
      </c>
      <c r="N16" s="9">
        <v>8.1999999999999993</v>
      </c>
      <c r="O16" s="8">
        <v>309.63</v>
      </c>
    </row>
    <row r="17" spans="1:15" x14ac:dyDescent="0.25">
      <c r="B17" s="2" t="s">
        <v>1</v>
      </c>
    </row>
    <row r="18" spans="1:15" x14ac:dyDescent="0.25">
      <c r="B18" s="2" t="s">
        <v>385</v>
      </c>
    </row>
    <row r="19" spans="1:15" x14ac:dyDescent="0.25">
      <c r="B19" s="2" t="s">
        <v>1</v>
      </c>
    </row>
    <row r="20" spans="1:15" x14ac:dyDescent="0.25">
      <c r="A20" s="6" t="s">
        <v>4</v>
      </c>
      <c r="B20" s="6" t="s">
        <v>5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</row>
    <row r="21" spans="1:15" x14ac:dyDescent="0.25">
      <c r="A21" s="3" t="s">
        <v>386</v>
      </c>
      <c r="B21" s="3" t="s">
        <v>387</v>
      </c>
      <c r="C21" s="4">
        <v>45969</v>
      </c>
      <c r="D21" s="3" t="s">
        <v>21</v>
      </c>
      <c r="E21" s="3" t="s">
        <v>22</v>
      </c>
      <c r="F21" s="3" t="s">
        <v>294</v>
      </c>
      <c r="G21" s="3" t="s">
        <v>98</v>
      </c>
      <c r="H21" s="3" t="s">
        <v>25</v>
      </c>
      <c r="I21" s="3" t="s">
        <v>900</v>
      </c>
      <c r="J21" s="3" t="s">
        <v>901</v>
      </c>
      <c r="K21" s="3" t="s">
        <v>91</v>
      </c>
      <c r="L21" s="3" t="s">
        <v>92</v>
      </c>
      <c r="M21" s="8">
        <v>1</v>
      </c>
      <c r="N21" s="9">
        <v>3.56</v>
      </c>
      <c r="O21" s="8">
        <v>134.43</v>
      </c>
    </row>
    <row r="22" spans="1:15" x14ac:dyDescent="0.25">
      <c r="A22" s="3" t="s">
        <v>386</v>
      </c>
      <c r="B22" s="3" t="s">
        <v>387</v>
      </c>
      <c r="C22" s="4">
        <v>45987</v>
      </c>
      <c r="D22" s="3" t="s">
        <v>21</v>
      </c>
      <c r="E22" s="3" t="s">
        <v>35</v>
      </c>
      <c r="F22" s="3" t="s">
        <v>294</v>
      </c>
      <c r="G22" s="3" t="s">
        <v>98</v>
      </c>
      <c r="H22" s="3" t="s">
        <v>25</v>
      </c>
      <c r="I22" s="3" t="s">
        <v>902</v>
      </c>
      <c r="J22" s="3" t="s">
        <v>903</v>
      </c>
      <c r="K22" s="3" t="s">
        <v>187</v>
      </c>
      <c r="L22" s="3" t="s">
        <v>109</v>
      </c>
      <c r="M22" s="8">
        <v>1</v>
      </c>
      <c r="N22" s="9">
        <v>3.98</v>
      </c>
      <c r="O22" s="8">
        <v>150.29</v>
      </c>
    </row>
    <row r="23" spans="1:15" x14ac:dyDescent="0.25">
      <c r="A23" s="10" t="s">
        <v>1</v>
      </c>
      <c r="B23" s="10" t="s">
        <v>398</v>
      </c>
      <c r="C23" s="10" t="s">
        <v>1</v>
      </c>
      <c r="D23" s="10" t="s">
        <v>1</v>
      </c>
      <c r="E23" s="10" t="s">
        <v>1</v>
      </c>
      <c r="F23" s="10" t="s">
        <v>1</v>
      </c>
      <c r="G23" s="10" t="s">
        <v>1</v>
      </c>
      <c r="H23" s="10" t="s">
        <v>1</v>
      </c>
      <c r="I23" s="10" t="s">
        <v>1</v>
      </c>
      <c r="J23" s="10" t="s">
        <v>1</v>
      </c>
      <c r="K23" s="10" t="s">
        <v>1</v>
      </c>
      <c r="L23" s="10" t="s">
        <v>1</v>
      </c>
      <c r="M23" s="11">
        <v>2</v>
      </c>
      <c r="N23" s="11">
        <v>7.54</v>
      </c>
      <c r="O23" s="11">
        <v>284.70999999999998</v>
      </c>
    </row>
    <row r="24" spans="1:15" x14ac:dyDescent="0.25">
      <c r="B24" s="2" t="s">
        <v>1</v>
      </c>
    </row>
    <row r="25" spans="1:15" x14ac:dyDescent="0.25">
      <c r="B25" s="2" t="s">
        <v>399</v>
      </c>
    </row>
    <row r="26" spans="1:15" x14ac:dyDescent="0.25">
      <c r="B26" s="2" t="s">
        <v>1</v>
      </c>
    </row>
    <row r="27" spans="1:15" x14ac:dyDescent="0.25">
      <c r="A27" s="6" t="s">
        <v>4</v>
      </c>
      <c r="B27" s="6" t="s">
        <v>5</v>
      </c>
      <c r="C27" s="6" t="s">
        <v>6</v>
      </c>
      <c r="D27" s="6" t="s">
        <v>7</v>
      </c>
      <c r="E27" s="6" t="s">
        <v>8</v>
      </c>
      <c r="F27" s="6" t="s">
        <v>9</v>
      </c>
      <c r="G27" s="6" t="s">
        <v>10</v>
      </c>
      <c r="H27" s="6" t="s">
        <v>11</v>
      </c>
      <c r="I27" s="6" t="s">
        <v>12</v>
      </c>
      <c r="J27" s="6" t="s">
        <v>13</v>
      </c>
      <c r="K27" s="6" t="s">
        <v>14</v>
      </c>
      <c r="L27" s="6" t="s">
        <v>15</v>
      </c>
      <c r="M27" s="6" t="s">
        <v>16</v>
      </c>
      <c r="N27" s="6" t="s">
        <v>17</v>
      </c>
      <c r="O27" s="6" t="s">
        <v>18</v>
      </c>
    </row>
    <row r="28" spans="1:15" x14ac:dyDescent="0.25">
      <c r="A28" s="3" t="s">
        <v>386</v>
      </c>
      <c r="B28" s="3" t="s">
        <v>400</v>
      </c>
      <c r="C28" s="4">
        <v>45966</v>
      </c>
      <c r="D28" s="3" t="s">
        <v>21</v>
      </c>
      <c r="E28" s="3" t="s">
        <v>35</v>
      </c>
      <c r="F28" s="3" t="s">
        <v>294</v>
      </c>
      <c r="G28" s="3" t="s">
        <v>98</v>
      </c>
      <c r="H28" s="3" t="s">
        <v>25</v>
      </c>
      <c r="I28" s="3" t="s">
        <v>904</v>
      </c>
      <c r="J28" s="3" t="s">
        <v>905</v>
      </c>
      <c r="K28" s="3" t="s">
        <v>33</v>
      </c>
      <c r="L28" s="3" t="s">
        <v>47</v>
      </c>
      <c r="M28" s="8">
        <v>1</v>
      </c>
      <c r="N28" s="9">
        <v>3.38</v>
      </c>
      <c r="O28" s="8">
        <v>127.63</v>
      </c>
    </row>
    <row r="29" spans="1:15" x14ac:dyDescent="0.25">
      <c r="A29" s="3" t="s">
        <v>386</v>
      </c>
      <c r="B29" s="3" t="s">
        <v>400</v>
      </c>
      <c r="C29" s="4">
        <v>45982</v>
      </c>
      <c r="D29" s="3" t="s">
        <v>21</v>
      </c>
      <c r="E29" s="3" t="s">
        <v>44</v>
      </c>
      <c r="F29" s="3" t="s">
        <v>294</v>
      </c>
      <c r="G29" s="3" t="s">
        <v>98</v>
      </c>
      <c r="H29" s="3" t="s">
        <v>25</v>
      </c>
      <c r="I29" s="3" t="s">
        <v>906</v>
      </c>
      <c r="J29" s="3" t="s">
        <v>907</v>
      </c>
      <c r="K29" s="3" t="s">
        <v>71</v>
      </c>
      <c r="L29" s="3" t="s">
        <v>63</v>
      </c>
      <c r="M29" s="8">
        <v>1</v>
      </c>
      <c r="N29" s="9">
        <v>3.94</v>
      </c>
      <c r="O29" s="8">
        <v>148.77000000000001</v>
      </c>
    </row>
    <row r="30" spans="1:15" x14ac:dyDescent="0.25">
      <c r="A30" s="10" t="s">
        <v>1</v>
      </c>
      <c r="B30" s="10" t="s">
        <v>415</v>
      </c>
      <c r="C30" s="10" t="s">
        <v>1</v>
      </c>
      <c r="D30" s="10" t="s">
        <v>1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1">
        <v>2</v>
      </c>
      <c r="N30" s="11">
        <v>7.32</v>
      </c>
      <c r="O30" s="11">
        <v>276.39999999999998</v>
      </c>
    </row>
    <row r="31" spans="1:15" x14ac:dyDescent="0.25">
      <c r="B31" s="2" t="s">
        <v>1</v>
      </c>
    </row>
    <row r="32" spans="1:15" x14ac:dyDescent="0.25">
      <c r="B32" s="2" t="s">
        <v>416</v>
      </c>
    </row>
    <row r="33" spans="1:15" x14ac:dyDescent="0.25">
      <c r="B33" s="2" t="s">
        <v>1</v>
      </c>
    </row>
    <row r="34" spans="1:15" x14ac:dyDescent="0.25">
      <c r="A34" s="6" t="s">
        <v>4</v>
      </c>
      <c r="B34" s="6" t="s">
        <v>5</v>
      </c>
      <c r="C34" s="6" t="s">
        <v>6</v>
      </c>
      <c r="D34" s="6" t="s">
        <v>7</v>
      </c>
      <c r="E34" s="6" t="s">
        <v>8</v>
      </c>
      <c r="F34" s="6" t="s">
        <v>9</v>
      </c>
      <c r="G34" s="6" t="s">
        <v>10</v>
      </c>
      <c r="H34" s="6" t="s">
        <v>11</v>
      </c>
      <c r="I34" s="6" t="s">
        <v>12</v>
      </c>
      <c r="J34" s="6" t="s">
        <v>13</v>
      </c>
      <c r="K34" s="6" t="s">
        <v>14</v>
      </c>
      <c r="L34" s="6" t="s">
        <v>15</v>
      </c>
      <c r="M34" s="6" t="s">
        <v>16</v>
      </c>
      <c r="N34" s="6" t="s">
        <v>17</v>
      </c>
      <c r="O34" s="6" t="s">
        <v>18</v>
      </c>
    </row>
    <row r="35" spans="1:15" x14ac:dyDescent="0.25">
      <c r="A35" s="3" t="s">
        <v>386</v>
      </c>
      <c r="B35" s="3" t="s">
        <v>417</v>
      </c>
      <c r="C35" s="4">
        <v>45971</v>
      </c>
      <c r="D35" s="3" t="s">
        <v>21</v>
      </c>
      <c r="E35" s="3" t="s">
        <v>38</v>
      </c>
      <c r="F35" s="3" t="s">
        <v>294</v>
      </c>
      <c r="G35" s="3" t="s">
        <v>98</v>
      </c>
      <c r="H35" s="3" t="s">
        <v>25</v>
      </c>
      <c r="I35" s="3" t="s">
        <v>908</v>
      </c>
      <c r="J35" s="3" t="s">
        <v>909</v>
      </c>
      <c r="K35" s="3" t="s">
        <v>105</v>
      </c>
      <c r="L35" s="3" t="s">
        <v>106</v>
      </c>
      <c r="M35" s="8">
        <v>1</v>
      </c>
      <c r="N35" s="9">
        <v>4.38</v>
      </c>
      <c r="O35" s="8">
        <v>165.39</v>
      </c>
    </row>
    <row r="36" spans="1:15" x14ac:dyDescent="0.25">
      <c r="A36" s="3" t="s">
        <v>386</v>
      </c>
      <c r="B36" s="3" t="s">
        <v>417</v>
      </c>
      <c r="C36" s="4">
        <v>45981</v>
      </c>
      <c r="D36" s="3" t="s">
        <v>21</v>
      </c>
      <c r="E36" s="3" t="s">
        <v>30</v>
      </c>
      <c r="F36" s="3" t="s">
        <v>294</v>
      </c>
      <c r="G36" s="3" t="s">
        <v>98</v>
      </c>
      <c r="H36" s="3" t="s">
        <v>25</v>
      </c>
      <c r="I36" s="3" t="s">
        <v>910</v>
      </c>
      <c r="J36" s="3" t="s">
        <v>911</v>
      </c>
      <c r="K36" s="3" t="s">
        <v>33</v>
      </c>
      <c r="L36" s="3" t="s">
        <v>109</v>
      </c>
      <c r="M36" s="8">
        <v>1</v>
      </c>
      <c r="N36" s="9">
        <v>3.22</v>
      </c>
      <c r="O36" s="8">
        <v>121.59</v>
      </c>
    </row>
    <row r="37" spans="1:15" x14ac:dyDescent="0.25">
      <c r="A37" s="10" t="s">
        <v>1</v>
      </c>
      <c r="B37" s="10" t="s">
        <v>423</v>
      </c>
      <c r="C37" s="10" t="s">
        <v>1</v>
      </c>
      <c r="D37" s="10" t="s">
        <v>1</v>
      </c>
      <c r="E37" s="10" t="s">
        <v>1</v>
      </c>
      <c r="F37" s="10" t="s">
        <v>1</v>
      </c>
      <c r="G37" s="10" t="s">
        <v>1</v>
      </c>
      <c r="H37" s="10" t="s">
        <v>1</v>
      </c>
      <c r="I37" s="10" t="s">
        <v>1</v>
      </c>
      <c r="J37" s="10" t="s">
        <v>1</v>
      </c>
      <c r="K37" s="10" t="s">
        <v>1</v>
      </c>
      <c r="L37" s="10" t="s">
        <v>1</v>
      </c>
      <c r="M37" s="11">
        <v>2</v>
      </c>
      <c r="N37" s="11">
        <v>7.6</v>
      </c>
      <c r="O37" s="11">
        <v>286.98</v>
      </c>
    </row>
    <row r="38" spans="1:15" x14ac:dyDescent="0.25">
      <c r="B38" s="2" t="s">
        <v>1</v>
      </c>
    </row>
    <row r="39" spans="1:15" x14ac:dyDescent="0.25">
      <c r="B39" s="2" t="s">
        <v>433</v>
      </c>
    </row>
    <row r="40" spans="1:15" x14ac:dyDescent="0.25">
      <c r="B40" s="2" t="s">
        <v>1</v>
      </c>
    </row>
    <row r="41" spans="1:15" x14ac:dyDescent="0.25">
      <c r="A41" s="6" t="s">
        <v>4</v>
      </c>
      <c r="B41" s="6" t="s">
        <v>5</v>
      </c>
      <c r="C41" s="6" t="s">
        <v>6</v>
      </c>
      <c r="D41" s="6" t="s">
        <v>7</v>
      </c>
      <c r="E41" s="6" t="s">
        <v>8</v>
      </c>
      <c r="F41" s="6" t="s">
        <v>9</v>
      </c>
      <c r="G41" s="6" t="s">
        <v>10</v>
      </c>
      <c r="H41" s="6" t="s">
        <v>11</v>
      </c>
      <c r="I41" s="6" t="s">
        <v>12</v>
      </c>
      <c r="J41" s="6" t="s">
        <v>13</v>
      </c>
      <c r="K41" s="6" t="s">
        <v>14</v>
      </c>
      <c r="L41" s="6" t="s">
        <v>15</v>
      </c>
      <c r="M41" s="6" t="s">
        <v>16</v>
      </c>
      <c r="N41" s="6" t="s">
        <v>17</v>
      </c>
      <c r="O41" s="6" t="s">
        <v>18</v>
      </c>
    </row>
    <row r="42" spans="1:15" x14ac:dyDescent="0.25">
      <c r="A42" s="3" t="s">
        <v>386</v>
      </c>
      <c r="B42" s="3" t="s">
        <v>434</v>
      </c>
      <c r="C42" s="4">
        <v>45974</v>
      </c>
      <c r="D42" s="3" t="s">
        <v>21</v>
      </c>
      <c r="E42" s="3" t="s">
        <v>30</v>
      </c>
      <c r="F42" s="3" t="s">
        <v>294</v>
      </c>
      <c r="G42" s="3" t="s">
        <v>98</v>
      </c>
      <c r="H42" s="3" t="s">
        <v>25</v>
      </c>
      <c r="I42" s="3" t="s">
        <v>912</v>
      </c>
      <c r="J42" s="3" t="s">
        <v>913</v>
      </c>
      <c r="K42" s="3" t="s">
        <v>403</v>
      </c>
      <c r="L42" s="3" t="s">
        <v>404</v>
      </c>
      <c r="M42" s="8">
        <v>1</v>
      </c>
      <c r="N42" s="9">
        <v>3.94</v>
      </c>
      <c r="O42" s="8">
        <v>148.77000000000001</v>
      </c>
    </row>
    <row r="43" spans="1:15" x14ac:dyDescent="0.25">
      <c r="A43" s="3" t="s">
        <v>386</v>
      </c>
      <c r="B43" s="3" t="s">
        <v>434</v>
      </c>
      <c r="C43" s="4">
        <v>45989</v>
      </c>
      <c r="D43" s="3" t="s">
        <v>21</v>
      </c>
      <c r="E43" s="3" t="s">
        <v>44</v>
      </c>
      <c r="F43" s="3" t="s">
        <v>294</v>
      </c>
      <c r="G43" s="3" t="s">
        <v>98</v>
      </c>
      <c r="H43" s="3" t="s">
        <v>25</v>
      </c>
      <c r="I43" s="3" t="s">
        <v>914</v>
      </c>
      <c r="J43" s="3" t="s">
        <v>915</v>
      </c>
      <c r="K43" s="3" t="s">
        <v>403</v>
      </c>
      <c r="L43" s="3" t="s">
        <v>404</v>
      </c>
      <c r="M43" s="8">
        <v>1</v>
      </c>
      <c r="N43" s="9">
        <v>3.64</v>
      </c>
      <c r="O43" s="8">
        <v>137.44999999999999</v>
      </c>
    </row>
    <row r="44" spans="1:15" x14ac:dyDescent="0.25">
      <c r="A44" s="10" t="s">
        <v>1</v>
      </c>
      <c r="B44" s="10" t="s">
        <v>442</v>
      </c>
      <c r="C44" s="10" t="s">
        <v>1</v>
      </c>
      <c r="D44" s="10" t="s">
        <v>1</v>
      </c>
      <c r="E44" s="10" t="s">
        <v>1</v>
      </c>
      <c r="F44" s="10" t="s">
        <v>1</v>
      </c>
      <c r="G44" s="10" t="s">
        <v>1</v>
      </c>
      <c r="H44" s="10" t="s">
        <v>1</v>
      </c>
      <c r="I44" s="10" t="s">
        <v>1</v>
      </c>
      <c r="J44" s="10" t="s">
        <v>1</v>
      </c>
      <c r="K44" s="10" t="s">
        <v>1</v>
      </c>
      <c r="L44" s="10" t="s">
        <v>1</v>
      </c>
      <c r="M44" s="11">
        <v>2</v>
      </c>
      <c r="N44" s="11">
        <v>7.58</v>
      </c>
      <c r="O44" s="11">
        <v>286.22000000000003</v>
      </c>
    </row>
    <row r="45" spans="1:15" x14ac:dyDescent="0.25">
      <c r="A45" s="5" t="s">
        <v>1</v>
      </c>
      <c r="B45" s="5" t="s">
        <v>303</v>
      </c>
      <c r="C45" s="5" t="s">
        <v>1</v>
      </c>
      <c r="D45" s="5" t="s">
        <v>1</v>
      </c>
      <c r="E45" s="5" t="s">
        <v>1</v>
      </c>
      <c r="F45" s="5" t="s">
        <v>1</v>
      </c>
      <c r="G45" s="5" t="s">
        <v>1</v>
      </c>
      <c r="H45" s="5" t="s">
        <v>1</v>
      </c>
      <c r="I45" s="5" t="s">
        <v>1</v>
      </c>
      <c r="J45" s="5" t="s">
        <v>1</v>
      </c>
      <c r="K45" s="5" t="s">
        <v>1</v>
      </c>
      <c r="L45" s="5" t="s">
        <v>1</v>
      </c>
      <c r="M45" s="8">
        <v>8</v>
      </c>
      <c r="N45" s="9">
        <v>30.04</v>
      </c>
      <c r="O45" s="8">
        <v>1134.31</v>
      </c>
    </row>
    <row r="46" spans="1:15" x14ac:dyDescent="0.25">
      <c r="A46" s="10" t="s">
        <v>1</v>
      </c>
      <c r="B46" s="10" t="s">
        <v>916</v>
      </c>
      <c r="C46" s="10" t="s">
        <v>1</v>
      </c>
      <c r="D46" s="10" t="s">
        <v>1</v>
      </c>
      <c r="E46" s="10" t="s">
        <v>1</v>
      </c>
      <c r="F46" s="10" t="s">
        <v>1</v>
      </c>
      <c r="G46" s="10" t="s">
        <v>1</v>
      </c>
      <c r="H46" s="10" t="s">
        <v>1</v>
      </c>
      <c r="I46" s="10" t="s">
        <v>1</v>
      </c>
      <c r="J46" s="10" t="s">
        <v>1</v>
      </c>
      <c r="K46" s="10" t="s">
        <v>1</v>
      </c>
      <c r="L46" s="10" t="s">
        <v>1</v>
      </c>
      <c r="M46" s="11">
        <v>10</v>
      </c>
      <c r="N46" s="11">
        <v>38.24</v>
      </c>
      <c r="O46" s="11">
        <v>1443.95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O16"/>
  <sheetViews>
    <sheetView workbookViewId="0"/>
  </sheetViews>
  <sheetFormatPr baseColWidth="10" defaultColWidth="9.140625" defaultRowHeight="15" x14ac:dyDescent="0.25"/>
  <cols>
    <col min="1" max="1" width="25.7109375" bestFit="1" customWidth="1"/>
    <col min="2" max="2" width="78.5703125" bestFit="1" customWidth="1"/>
    <col min="3" max="3" width="9.28515625" bestFit="1" customWidth="1"/>
    <col min="4" max="4" width="6" bestFit="1" customWidth="1"/>
    <col min="5" max="5" width="6.28515625" bestFit="1" customWidth="1"/>
    <col min="6" max="6" width="36.5703125" bestFit="1" customWidth="1"/>
    <col min="7" max="7" width="9.42578125" bestFit="1" customWidth="1"/>
    <col min="8" max="8" width="25.425781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917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443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2" t="s">
        <v>386</v>
      </c>
      <c r="B13" s="12" t="s">
        <v>444</v>
      </c>
      <c r="C13" s="7">
        <v>45962</v>
      </c>
      <c r="D13" s="12" t="s">
        <v>82</v>
      </c>
      <c r="E13" s="12" t="s">
        <v>22</v>
      </c>
      <c r="F13" s="12" t="s">
        <v>306</v>
      </c>
      <c r="G13" s="12" t="s">
        <v>98</v>
      </c>
      <c r="H13" s="12" t="s">
        <v>123</v>
      </c>
      <c r="I13" s="12" t="s">
        <v>918</v>
      </c>
      <c r="J13" s="12" t="s">
        <v>919</v>
      </c>
      <c r="K13" s="12" t="s">
        <v>71</v>
      </c>
      <c r="L13" s="12" t="s">
        <v>63</v>
      </c>
      <c r="M13" s="13">
        <v>1</v>
      </c>
      <c r="N13" s="13">
        <v>5.58</v>
      </c>
      <c r="O13" s="13">
        <v>194.09</v>
      </c>
    </row>
    <row r="14" spans="1:15" x14ac:dyDescent="0.25">
      <c r="A14" s="10" t="s">
        <v>1</v>
      </c>
      <c r="B14" s="10" t="s">
        <v>622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5.58</v>
      </c>
      <c r="O14" s="11">
        <v>194.09</v>
      </c>
    </row>
    <row r="15" spans="1:15" x14ac:dyDescent="0.25">
      <c r="A15" s="5" t="s">
        <v>1</v>
      </c>
      <c r="B15" s="5" t="s">
        <v>623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5" t="s">
        <v>1</v>
      </c>
      <c r="M15" s="5">
        <v>1</v>
      </c>
      <c r="N15" s="5">
        <v>5.58</v>
      </c>
      <c r="O15" s="5">
        <v>194.09</v>
      </c>
    </row>
    <row r="16" spans="1:15" x14ac:dyDescent="0.25">
      <c r="A16" s="10" t="s">
        <v>1</v>
      </c>
      <c r="B16" s="10" t="s">
        <v>920</v>
      </c>
      <c r="C16" s="10" t="s">
        <v>1</v>
      </c>
      <c r="D16" s="10" t="s">
        <v>1</v>
      </c>
      <c r="E16" s="10" t="s">
        <v>1</v>
      </c>
      <c r="F16" s="10" t="s">
        <v>1</v>
      </c>
      <c r="G16" s="10" t="s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1">
        <v>1</v>
      </c>
      <c r="N16" s="11">
        <v>5.58</v>
      </c>
      <c r="O16" s="11">
        <v>194.09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O83"/>
  <sheetViews>
    <sheetView topLeftCell="A64" workbookViewId="0">
      <selection activeCell="M84" sqref="M84"/>
    </sheetView>
  </sheetViews>
  <sheetFormatPr baseColWidth="10" defaultColWidth="9.140625" defaultRowHeight="15" x14ac:dyDescent="0.25"/>
  <cols>
    <col min="1" max="1" width="25.7109375" bestFit="1" customWidth="1"/>
    <col min="2" max="2" width="51" bestFit="1" customWidth="1"/>
    <col min="3" max="3" width="9.28515625" bestFit="1" customWidth="1"/>
    <col min="4" max="4" width="6" bestFit="1" customWidth="1"/>
    <col min="5" max="5" width="7.5703125" bestFit="1" customWidth="1"/>
    <col min="6" max="6" width="14.5703125" bestFit="1" customWidth="1"/>
    <col min="7" max="7" width="23.5703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9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921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922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444</v>
      </c>
      <c r="C13" s="4">
        <v>45968</v>
      </c>
      <c r="D13" s="3" t="s">
        <v>21</v>
      </c>
      <c r="E13" s="3" t="s">
        <v>44</v>
      </c>
      <c r="F13" s="3" t="s">
        <v>315</v>
      </c>
      <c r="G13" s="3" t="s">
        <v>347</v>
      </c>
      <c r="H13" s="3" t="s">
        <v>316</v>
      </c>
      <c r="I13" s="3" t="s">
        <v>923</v>
      </c>
      <c r="J13" s="3" t="s">
        <v>924</v>
      </c>
      <c r="K13" s="3" t="s">
        <v>393</v>
      </c>
      <c r="L13" s="3" t="s">
        <v>47</v>
      </c>
      <c r="M13" s="8">
        <v>1</v>
      </c>
      <c r="N13" s="9">
        <v>8</v>
      </c>
      <c r="O13" s="8">
        <v>103.38</v>
      </c>
    </row>
    <row r="14" spans="1:15" x14ac:dyDescent="0.25">
      <c r="A14" s="3" t="s">
        <v>386</v>
      </c>
      <c r="B14" s="3" t="s">
        <v>444</v>
      </c>
      <c r="C14" s="4">
        <v>45976</v>
      </c>
      <c r="D14" s="3" t="s">
        <v>21</v>
      </c>
      <c r="E14" s="3" t="s">
        <v>22</v>
      </c>
      <c r="F14" s="3" t="s">
        <v>315</v>
      </c>
      <c r="G14" s="3" t="s">
        <v>347</v>
      </c>
      <c r="H14" s="3" t="s">
        <v>316</v>
      </c>
      <c r="I14" s="3" t="s">
        <v>26</v>
      </c>
      <c r="J14" s="3" t="s">
        <v>925</v>
      </c>
      <c r="K14" s="3" t="s">
        <v>71</v>
      </c>
      <c r="L14" s="3" t="s">
        <v>63</v>
      </c>
      <c r="M14" s="8">
        <v>1</v>
      </c>
      <c r="N14" s="9">
        <v>4.4000000000000004</v>
      </c>
      <c r="O14" s="8">
        <v>56.86</v>
      </c>
    </row>
    <row r="15" spans="1:15" x14ac:dyDescent="0.25">
      <c r="A15" s="3" t="s">
        <v>386</v>
      </c>
      <c r="B15" s="3" t="s">
        <v>444</v>
      </c>
      <c r="C15" s="4">
        <v>45987</v>
      </c>
      <c r="D15" s="3" t="s">
        <v>21</v>
      </c>
      <c r="E15" s="3" t="s">
        <v>35</v>
      </c>
      <c r="F15" s="3" t="s">
        <v>315</v>
      </c>
      <c r="G15" s="3" t="s">
        <v>347</v>
      </c>
      <c r="H15" s="3" t="s">
        <v>316</v>
      </c>
      <c r="I15" s="3" t="s">
        <v>926</v>
      </c>
      <c r="J15" s="3" t="s">
        <v>927</v>
      </c>
      <c r="K15" s="3" t="s">
        <v>91</v>
      </c>
      <c r="L15" s="3" t="s">
        <v>928</v>
      </c>
      <c r="M15" s="8">
        <v>1</v>
      </c>
      <c r="N15" s="9">
        <v>5.7</v>
      </c>
      <c r="O15" s="8">
        <v>73.66</v>
      </c>
    </row>
    <row r="16" spans="1:15" x14ac:dyDescent="0.25">
      <c r="A16" s="10" t="s">
        <v>1</v>
      </c>
      <c r="B16" s="10" t="s">
        <v>929</v>
      </c>
      <c r="C16" s="10" t="s">
        <v>1</v>
      </c>
      <c r="D16" s="10" t="s">
        <v>1</v>
      </c>
      <c r="E16" s="10" t="s">
        <v>1</v>
      </c>
      <c r="F16" s="10" t="s">
        <v>1</v>
      </c>
      <c r="G16" s="10" t="s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1">
        <v>3</v>
      </c>
      <c r="N16" s="11">
        <v>18.100000000000001</v>
      </c>
      <c r="O16" s="11">
        <v>233.9</v>
      </c>
    </row>
    <row r="17" spans="1:15" x14ac:dyDescent="0.25">
      <c r="B17" s="2" t="s">
        <v>1</v>
      </c>
    </row>
    <row r="18" spans="1:15" x14ac:dyDescent="0.25">
      <c r="B18" s="2" t="s">
        <v>966</v>
      </c>
    </row>
    <row r="19" spans="1:15" x14ac:dyDescent="0.25">
      <c r="B19" s="2" t="s">
        <v>1</v>
      </c>
    </row>
    <row r="20" spans="1:15" x14ac:dyDescent="0.25">
      <c r="A20" s="6" t="s">
        <v>4</v>
      </c>
      <c r="B20" s="6" t="s">
        <v>5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</row>
    <row r="21" spans="1:15" x14ac:dyDescent="0.25">
      <c r="A21" s="3" t="s">
        <v>386</v>
      </c>
      <c r="B21" s="3" t="s">
        <v>417</v>
      </c>
      <c r="C21" s="4">
        <v>45966</v>
      </c>
      <c r="D21" s="3" t="s">
        <v>21</v>
      </c>
      <c r="E21" s="3" t="s">
        <v>35</v>
      </c>
      <c r="F21" s="3" t="s">
        <v>315</v>
      </c>
      <c r="G21" s="3" t="s">
        <v>347</v>
      </c>
      <c r="H21" s="3" t="s">
        <v>326</v>
      </c>
      <c r="I21" s="3" t="s">
        <v>967</v>
      </c>
      <c r="J21" s="3" t="s">
        <v>968</v>
      </c>
      <c r="K21" s="3" t="s">
        <v>403</v>
      </c>
      <c r="L21" s="3" t="s">
        <v>404</v>
      </c>
      <c r="M21" s="8">
        <v>1</v>
      </c>
      <c r="N21" s="9">
        <v>5.55</v>
      </c>
      <c r="O21" s="8">
        <v>71.72</v>
      </c>
    </row>
    <row r="22" spans="1:15" x14ac:dyDescent="0.25">
      <c r="A22" s="3" t="s">
        <v>386</v>
      </c>
      <c r="B22" s="3" t="s">
        <v>417</v>
      </c>
      <c r="C22" s="4">
        <v>45969</v>
      </c>
      <c r="D22" s="3" t="s">
        <v>21</v>
      </c>
      <c r="E22" s="3" t="s">
        <v>22</v>
      </c>
      <c r="F22" s="3" t="s">
        <v>315</v>
      </c>
      <c r="G22" s="3" t="s">
        <v>347</v>
      </c>
      <c r="H22" s="3" t="s">
        <v>326</v>
      </c>
      <c r="I22" s="3" t="s">
        <v>26</v>
      </c>
      <c r="J22" s="3" t="s">
        <v>969</v>
      </c>
      <c r="K22" s="3" t="s">
        <v>201</v>
      </c>
      <c r="L22" s="3" t="s">
        <v>202</v>
      </c>
      <c r="M22" s="8">
        <v>1</v>
      </c>
      <c r="N22" s="9">
        <v>4.6500000000000004</v>
      </c>
      <c r="O22" s="8">
        <v>60.09</v>
      </c>
    </row>
    <row r="23" spans="1:15" x14ac:dyDescent="0.25">
      <c r="A23" s="3" t="s">
        <v>386</v>
      </c>
      <c r="B23" s="3" t="s">
        <v>417</v>
      </c>
      <c r="C23" s="4">
        <v>45974</v>
      </c>
      <c r="D23" s="3" t="s">
        <v>21</v>
      </c>
      <c r="E23" s="3" t="s">
        <v>30</v>
      </c>
      <c r="F23" s="3" t="s">
        <v>315</v>
      </c>
      <c r="G23" s="3" t="s">
        <v>347</v>
      </c>
      <c r="H23" s="3" t="s">
        <v>326</v>
      </c>
      <c r="I23" s="3" t="s">
        <v>26</v>
      </c>
      <c r="J23" s="3" t="s">
        <v>970</v>
      </c>
      <c r="K23" s="3" t="s">
        <v>393</v>
      </c>
      <c r="L23" s="3" t="s">
        <v>34</v>
      </c>
      <c r="M23" s="8">
        <v>1</v>
      </c>
      <c r="N23" s="9">
        <v>5.85</v>
      </c>
      <c r="O23" s="8">
        <v>75.599999999999994</v>
      </c>
    </row>
    <row r="24" spans="1:15" x14ac:dyDescent="0.25">
      <c r="A24" s="10" t="s">
        <v>1</v>
      </c>
      <c r="B24" s="10" t="s">
        <v>971</v>
      </c>
      <c r="C24" s="10" t="s">
        <v>1</v>
      </c>
      <c r="D24" s="10" t="s">
        <v>1</v>
      </c>
      <c r="E24" s="10" t="s">
        <v>1</v>
      </c>
      <c r="F24" s="10" t="s">
        <v>1</v>
      </c>
      <c r="G24" s="10" t="s">
        <v>1</v>
      </c>
      <c r="H24" s="10" t="s">
        <v>1</v>
      </c>
      <c r="I24" s="10" t="s">
        <v>1</v>
      </c>
      <c r="J24" s="10" t="s">
        <v>1</v>
      </c>
      <c r="K24" s="10" t="s">
        <v>1</v>
      </c>
      <c r="L24" s="10" t="s">
        <v>1</v>
      </c>
      <c r="M24" s="11">
        <v>3</v>
      </c>
      <c r="N24" s="11">
        <v>16.05</v>
      </c>
      <c r="O24" s="11">
        <v>207.41</v>
      </c>
    </row>
    <row r="25" spans="1:15" x14ac:dyDescent="0.25">
      <c r="B25" s="2" t="s">
        <v>1</v>
      </c>
    </row>
    <row r="26" spans="1:15" x14ac:dyDescent="0.25">
      <c r="B26" s="2" t="s">
        <v>930</v>
      </c>
    </row>
    <row r="27" spans="1:15" x14ac:dyDescent="0.25">
      <c r="B27" s="2" t="s">
        <v>1</v>
      </c>
    </row>
    <row r="28" spans="1:15" x14ac:dyDescent="0.25">
      <c r="A28" s="6" t="s">
        <v>4</v>
      </c>
      <c r="B28" s="6" t="s">
        <v>5</v>
      </c>
      <c r="C28" s="6" t="s">
        <v>6</v>
      </c>
      <c r="D28" s="6" t="s">
        <v>7</v>
      </c>
      <c r="E28" s="6" t="s">
        <v>8</v>
      </c>
      <c r="F28" s="6" t="s">
        <v>9</v>
      </c>
      <c r="G28" s="6" t="s">
        <v>10</v>
      </c>
      <c r="H28" s="6" t="s">
        <v>11</v>
      </c>
      <c r="I28" s="6" t="s">
        <v>12</v>
      </c>
      <c r="J28" s="6" t="s">
        <v>13</v>
      </c>
      <c r="K28" s="6" t="s">
        <v>14</v>
      </c>
      <c r="L28" s="6" t="s">
        <v>15</v>
      </c>
      <c r="M28" s="6" t="s">
        <v>16</v>
      </c>
      <c r="N28" s="6" t="s">
        <v>17</v>
      </c>
      <c r="O28" s="6" t="s">
        <v>18</v>
      </c>
    </row>
    <row r="29" spans="1:15" x14ac:dyDescent="0.25">
      <c r="A29" s="3" t="s">
        <v>386</v>
      </c>
      <c r="B29" s="3" t="s">
        <v>417</v>
      </c>
      <c r="C29" s="4">
        <v>45983</v>
      </c>
      <c r="D29" s="3" t="s">
        <v>21</v>
      </c>
      <c r="E29" s="3" t="s">
        <v>22</v>
      </c>
      <c r="F29" s="3" t="s">
        <v>315</v>
      </c>
      <c r="G29" s="3" t="s">
        <v>347</v>
      </c>
      <c r="H29" s="3" t="s">
        <v>316</v>
      </c>
      <c r="I29" s="3" t="s">
        <v>26</v>
      </c>
      <c r="J29" s="3" t="s">
        <v>931</v>
      </c>
      <c r="K29" s="3" t="s">
        <v>33</v>
      </c>
      <c r="L29" s="3" t="s">
        <v>109</v>
      </c>
      <c r="M29" s="8">
        <v>1</v>
      </c>
      <c r="N29" s="9">
        <v>7.85</v>
      </c>
      <c r="O29" s="8">
        <v>101.44</v>
      </c>
    </row>
    <row r="30" spans="1:15" x14ac:dyDescent="0.25">
      <c r="A30" s="10" t="s">
        <v>1</v>
      </c>
      <c r="B30" s="10" t="s">
        <v>932</v>
      </c>
      <c r="C30" s="10" t="s">
        <v>1</v>
      </c>
      <c r="D30" s="10" t="s">
        <v>1</v>
      </c>
      <c r="E30" s="10" t="s">
        <v>1</v>
      </c>
      <c r="F30" s="10" t="s">
        <v>1</v>
      </c>
      <c r="G30" s="10" t="s">
        <v>1</v>
      </c>
      <c r="H30" s="10" t="s">
        <v>1</v>
      </c>
      <c r="I30" s="10" t="s">
        <v>1</v>
      </c>
      <c r="J30" s="10" t="s">
        <v>1</v>
      </c>
      <c r="K30" s="10" t="s">
        <v>1</v>
      </c>
      <c r="L30" s="10" t="s">
        <v>1</v>
      </c>
      <c r="M30" s="11">
        <v>1</v>
      </c>
      <c r="N30" s="11">
        <v>7.85</v>
      </c>
      <c r="O30" s="11">
        <v>101.44</v>
      </c>
    </row>
    <row r="31" spans="1:15" x14ac:dyDescent="0.25">
      <c r="B31" s="2" t="s">
        <v>1</v>
      </c>
    </row>
    <row r="32" spans="1:15" x14ac:dyDescent="0.25">
      <c r="B32" s="2" t="s">
        <v>933</v>
      </c>
    </row>
    <row r="33" spans="1:15" x14ac:dyDescent="0.25">
      <c r="B33" s="2" t="s">
        <v>1</v>
      </c>
    </row>
    <row r="34" spans="1:15" x14ac:dyDescent="0.25">
      <c r="A34" s="6" t="s">
        <v>4</v>
      </c>
      <c r="B34" s="6" t="s">
        <v>5</v>
      </c>
      <c r="C34" s="6" t="s">
        <v>6</v>
      </c>
      <c r="D34" s="6" t="s">
        <v>7</v>
      </c>
      <c r="E34" s="6" t="s">
        <v>8</v>
      </c>
      <c r="F34" s="6" t="s">
        <v>9</v>
      </c>
      <c r="G34" s="6" t="s">
        <v>10</v>
      </c>
      <c r="H34" s="6" t="s">
        <v>11</v>
      </c>
      <c r="I34" s="6" t="s">
        <v>12</v>
      </c>
      <c r="J34" s="6" t="s">
        <v>13</v>
      </c>
      <c r="K34" s="6" t="s">
        <v>14</v>
      </c>
      <c r="L34" s="6" t="s">
        <v>15</v>
      </c>
      <c r="M34" s="6" t="s">
        <v>16</v>
      </c>
      <c r="N34" s="6" t="s">
        <v>17</v>
      </c>
      <c r="O34" s="6" t="s">
        <v>18</v>
      </c>
    </row>
    <row r="35" spans="1:15" x14ac:dyDescent="0.25">
      <c r="A35" s="3" t="s">
        <v>386</v>
      </c>
      <c r="B35" s="3" t="s">
        <v>434</v>
      </c>
      <c r="C35" s="4">
        <v>45964</v>
      </c>
      <c r="D35" s="3" t="s">
        <v>21</v>
      </c>
      <c r="E35" s="3" t="s">
        <v>38</v>
      </c>
      <c r="F35" s="3" t="s">
        <v>315</v>
      </c>
      <c r="G35" s="3" t="s">
        <v>347</v>
      </c>
      <c r="H35" s="3" t="s">
        <v>316</v>
      </c>
      <c r="I35" s="3" t="s">
        <v>26</v>
      </c>
      <c r="J35" s="3" t="s">
        <v>934</v>
      </c>
      <c r="K35" s="3" t="s">
        <v>393</v>
      </c>
      <c r="L35" s="3" t="s">
        <v>68</v>
      </c>
      <c r="M35" s="8">
        <v>1</v>
      </c>
      <c r="N35" s="9">
        <v>7.75</v>
      </c>
      <c r="O35" s="8">
        <v>100.15</v>
      </c>
    </row>
    <row r="36" spans="1:15" x14ac:dyDescent="0.25">
      <c r="A36" s="3" t="s">
        <v>386</v>
      </c>
      <c r="B36" s="3" t="s">
        <v>434</v>
      </c>
      <c r="C36" s="4">
        <v>45968</v>
      </c>
      <c r="D36" s="3" t="s">
        <v>21</v>
      </c>
      <c r="E36" s="3" t="s">
        <v>44</v>
      </c>
      <c r="F36" s="3" t="s">
        <v>315</v>
      </c>
      <c r="G36" s="3" t="s">
        <v>347</v>
      </c>
      <c r="H36" s="3" t="s">
        <v>316</v>
      </c>
      <c r="I36" s="3" t="s">
        <v>26</v>
      </c>
      <c r="J36" s="3" t="s">
        <v>935</v>
      </c>
      <c r="K36" s="3" t="s">
        <v>403</v>
      </c>
      <c r="L36" s="3" t="s">
        <v>404</v>
      </c>
      <c r="M36" s="8">
        <v>1</v>
      </c>
      <c r="N36" s="9">
        <v>7</v>
      </c>
      <c r="O36" s="8">
        <v>90.46</v>
      </c>
    </row>
    <row r="37" spans="1:15" x14ac:dyDescent="0.25">
      <c r="A37" s="3" t="s">
        <v>386</v>
      </c>
      <c r="B37" s="3" t="s">
        <v>434</v>
      </c>
      <c r="C37" s="4">
        <v>45969</v>
      </c>
      <c r="D37" s="3" t="s">
        <v>21</v>
      </c>
      <c r="E37" s="3" t="s">
        <v>22</v>
      </c>
      <c r="F37" s="3" t="s">
        <v>315</v>
      </c>
      <c r="G37" s="3" t="s">
        <v>347</v>
      </c>
      <c r="H37" s="3" t="s">
        <v>316</v>
      </c>
      <c r="I37" s="3" t="s">
        <v>26</v>
      </c>
      <c r="J37" s="3" t="s">
        <v>936</v>
      </c>
      <c r="K37" s="3" t="s">
        <v>390</v>
      </c>
      <c r="L37" s="3" t="s">
        <v>47</v>
      </c>
      <c r="M37" s="8">
        <v>1</v>
      </c>
      <c r="N37" s="9">
        <v>9.3000000000000007</v>
      </c>
      <c r="O37" s="8">
        <v>120.18</v>
      </c>
    </row>
    <row r="38" spans="1:15" x14ac:dyDescent="0.25">
      <c r="A38" s="3" t="s">
        <v>386</v>
      </c>
      <c r="B38" s="3" t="s">
        <v>434</v>
      </c>
      <c r="C38" s="4">
        <v>45976</v>
      </c>
      <c r="D38" s="3" t="s">
        <v>21</v>
      </c>
      <c r="E38" s="3" t="s">
        <v>22</v>
      </c>
      <c r="F38" s="3" t="s">
        <v>315</v>
      </c>
      <c r="G38" s="3" t="s">
        <v>347</v>
      </c>
      <c r="H38" s="3" t="s">
        <v>316</v>
      </c>
      <c r="I38" s="3" t="s">
        <v>26</v>
      </c>
      <c r="J38" s="3" t="s">
        <v>937</v>
      </c>
      <c r="K38" s="3" t="s">
        <v>71</v>
      </c>
      <c r="L38" s="3" t="s">
        <v>63</v>
      </c>
      <c r="M38" s="8">
        <v>1</v>
      </c>
      <c r="N38" s="9">
        <v>4.3499999999999996</v>
      </c>
      <c r="O38" s="8">
        <v>56.21</v>
      </c>
    </row>
    <row r="39" spans="1:15" x14ac:dyDescent="0.25">
      <c r="A39" s="3" t="s">
        <v>386</v>
      </c>
      <c r="B39" s="3" t="s">
        <v>434</v>
      </c>
      <c r="C39" s="4">
        <v>45981</v>
      </c>
      <c r="D39" s="3" t="s">
        <v>21</v>
      </c>
      <c r="E39" s="3" t="s">
        <v>30</v>
      </c>
      <c r="F39" s="3" t="s">
        <v>315</v>
      </c>
      <c r="G39" s="3" t="s">
        <v>347</v>
      </c>
      <c r="H39" s="3" t="s">
        <v>316</v>
      </c>
      <c r="I39" s="3" t="s">
        <v>938</v>
      </c>
      <c r="J39" s="3" t="s">
        <v>939</v>
      </c>
      <c r="K39" s="3" t="s">
        <v>403</v>
      </c>
      <c r="L39" s="3" t="s">
        <v>404</v>
      </c>
      <c r="M39" s="8">
        <v>1</v>
      </c>
      <c r="N39" s="9">
        <v>5.75</v>
      </c>
      <c r="O39" s="8">
        <v>74.31</v>
      </c>
    </row>
    <row r="40" spans="1:15" x14ac:dyDescent="0.25">
      <c r="A40" s="3" t="s">
        <v>386</v>
      </c>
      <c r="B40" s="3" t="s">
        <v>434</v>
      </c>
      <c r="C40" s="4">
        <v>45988</v>
      </c>
      <c r="D40" s="3" t="s">
        <v>21</v>
      </c>
      <c r="E40" s="3" t="s">
        <v>30</v>
      </c>
      <c r="F40" s="3" t="s">
        <v>315</v>
      </c>
      <c r="G40" s="3" t="s">
        <v>347</v>
      </c>
      <c r="H40" s="3" t="s">
        <v>316</v>
      </c>
      <c r="I40" s="3" t="s">
        <v>940</v>
      </c>
      <c r="J40" s="3" t="s">
        <v>941</v>
      </c>
      <c r="K40" s="3" t="s">
        <v>403</v>
      </c>
      <c r="L40" s="3" t="s">
        <v>404</v>
      </c>
      <c r="M40" s="8">
        <v>1</v>
      </c>
      <c r="N40" s="9">
        <v>5.05</v>
      </c>
      <c r="O40" s="8">
        <v>65.260000000000005</v>
      </c>
    </row>
    <row r="41" spans="1:15" x14ac:dyDescent="0.25">
      <c r="A41" s="10" t="s">
        <v>1</v>
      </c>
      <c r="B41" s="10" t="s">
        <v>942</v>
      </c>
      <c r="C41" s="10" t="s">
        <v>1</v>
      </c>
      <c r="D41" s="10" t="s">
        <v>1</v>
      </c>
      <c r="E41" s="10" t="s">
        <v>1</v>
      </c>
      <c r="F41" s="10" t="s">
        <v>1</v>
      </c>
      <c r="G41" s="10" t="s">
        <v>1</v>
      </c>
      <c r="H41" s="10" t="s">
        <v>1</v>
      </c>
      <c r="I41" s="10" t="s">
        <v>1</v>
      </c>
      <c r="J41" s="10" t="s">
        <v>1</v>
      </c>
      <c r="K41" s="10" t="s">
        <v>1</v>
      </c>
      <c r="L41" s="10" t="s">
        <v>1</v>
      </c>
      <c r="M41" s="11">
        <v>6</v>
      </c>
      <c r="N41" s="11">
        <v>39.200000000000003</v>
      </c>
      <c r="O41" s="11">
        <v>506.58</v>
      </c>
    </row>
    <row r="42" spans="1:15" x14ac:dyDescent="0.25">
      <c r="B42" s="2" t="s">
        <v>1</v>
      </c>
    </row>
    <row r="43" spans="1:15" x14ac:dyDescent="0.25">
      <c r="B43" s="2" t="s">
        <v>943</v>
      </c>
    </row>
    <row r="44" spans="1:15" x14ac:dyDescent="0.25">
      <c r="B44" s="2" t="s">
        <v>1</v>
      </c>
    </row>
    <row r="45" spans="1:15" x14ac:dyDescent="0.25">
      <c r="A45" s="6" t="s">
        <v>4</v>
      </c>
      <c r="B45" s="6" t="s">
        <v>5</v>
      </c>
      <c r="C45" s="6" t="s">
        <v>6</v>
      </c>
      <c r="D45" s="6" t="s">
        <v>7</v>
      </c>
      <c r="E45" s="6" t="s">
        <v>8</v>
      </c>
      <c r="F45" s="6" t="s">
        <v>9</v>
      </c>
      <c r="G45" s="6" t="s">
        <v>10</v>
      </c>
      <c r="H45" s="6" t="s">
        <v>11</v>
      </c>
      <c r="I45" s="6" t="s">
        <v>12</v>
      </c>
      <c r="J45" s="6" t="s">
        <v>13</v>
      </c>
      <c r="K45" s="6" t="s">
        <v>14</v>
      </c>
      <c r="L45" s="6" t="s">
        <v>15</v>
      </c>
      <c r="M45" s="6" t="s">
        <v>16</v>
      </c>
      <c r="N45" s="6" t="s">
        <v>17</v>
      </c>
      <c r="O45" s="6" t="s">
        <v>18</v>
      </c>
    </row>
    <row r="46" spans="1:15" x14ac:dyDescent="0.25">
      <c r="A46" s="3" t="s">
        <v>386</v>
      </c>
      <c r="B46" s="3" t="s">
        <v>444</v>
      </c>
      <c r="C46" s="4">
        <v>45979</v>
      </c>
      <c r="D46" s="3" t="s">
        <v>21</v>
      </c>
      <c r="E46" s="3" t="s">
        <v>58</v>
      </c>
      <c r="F46" s="3" t="s">
        <v>315</v>
      </c>
      <c r="G46" s="3" t="s">
        <v>347</v>
      </c>
      <c r="H46" s="3" t="s">
        <v>326</v>
      </c>
      <c r="I46" s="3" t="s">
        <v>26</v>
      </c>
      <c r="J46" s="3" t="s">
        <v>944</v>
      </c>
      <c r="K46" s="3" t="s">
        <v>105</v>
      </c>
      <c r="L46" s="3" t="s">
        <v>106</v>
      </c>
      <c r="M46" s="8">
        <v>1</v>
      </c>
      <c r="N46" s="9">
        <v>6.85</v>
      </c>
      <c r="O46" s="8">
        <v>88.52</v>
      </c>
    </row>
    <row r="47" spans="1:15" x14ac:dyDescent="0.25">
      <c r="A47" s="3" t="s">
        <v>386</v>
      </c>
      <c r="B47" s="3" t="s">
        <v>444</v>
      </c>
      <c r="C47" s="4">
        <v>45982</v>
      </c>
      <c r="D47" s="3" t="s">
        <v>21</v>
      </c>
      <c r="E47" s="3" t="s">
        <v>44</v>
      </c>
      <c r="F47" s="3" t="s">
        <v>315</v>
      </c>
      <c r="G47" s="3" t="s">
        <v>347</v>
      </c>
      <c r="H47" s="3" t="s">
        <v>326</v>
      </c>
      <c r="I47" s="3" t="s">
        <v>26</v>
      </c>
      <c r="J47" s="3" t="s">
        <v>945</v>
      </c>
      <c r="K47" s="3" t="s">
        <v>390</v>
      </c>
      <c r="L47" s="3" t="s">
        <v>47</v>
      </c>
      <c r="M47" s="8">
        <v>1</v>
      </c>
      <c r="N47" s="9">
        <v>7.9</v>
      </c>
      <c r="O47" s="8">
        <v>102.09</v>
      </c>
    </row>
    <row r="48" spans="1:15" x14ac:dyDescent="0.25">
      <c r="A48" s="10" t="s">
        <v>1</v>
      </c>
      <c r="B48" s="10" t="s">
        <v>946</v>
      </c>
      <c r="C48" s="10" t="s">
        <v>1</v>
      </c>
      <c r="D48" s="10" t="s">
        <v>1</v>
      </c>
      <c r="E48" s="10" t="s">
        <v>1</v>
      </c>
      <c r="F48" s="10" t="s">
        <v>1</v>
      </c>
      <c r="G48" s="10" t="s">
        <v>1</v>
      </c>
      <c r="H48" s="10" t="s">
        <v>1</v>
      </c>
      <c r="I48" s="10" t="s">
        <v>1</v>
      </c>
      <c r="J48" s="10" t="s">
        <v>1</v>
      </c>
      <c r="K48" s="10" t="s">
        <v>1</v>
      </c>
      <c r="L48" s="10" t="s">
        <v>1</v>
      </c>
      <c r="M48" s="11">
        <v>2</v>
      </c>
      <c r="N48" s="11">
        <v>14.75</v>
      </c>
      <c r="O48" s="11">
        <v>190.61</v>
      </c>
    </row>
    <row r="49" spans="1:15" x14ac:dyDescent="0.25">
      <c r="B49" s="2" t="s">
        <v>1</v>
      </c>
    </row>
    <row r="50" spans="1:15" x14ac:dyDescent="0.25">
      <c r="B50" s="2" t="s">
        <v>947</v>
      </c>
    </row>
    <row r="51" spans="1:15" x14ac:dyDescent="0.25">
      <c r="B51" s="2" t="s">
        <v>1</v>
      </c>
    </row>
    <row r="52" spans="1:15" x14ac:dyDescent="0.25">
      <c r="A52" s="6" t="s">
        <v>4</v>
      </c>
      <c r="B52" s="6" t="s">
        <v>5</v>
      </c>
      <c r="C52" s="6" t="s">
        <v>6</v>
      </c>
      <c r="D52" s="6" t="s">
        <v>7</v>
      </c>
      <c r="E52" s="6" t="s">
        <v>8</v>
      </c>
      <c r="F52" s="6" t="s">
        <v>9</v>
      </c>
      <c r="G52" s="6" t="s">
        <v>10</v>
      </c>
      <c r="H52" s="6" t="s">
        <v>11</v>
      </c>
      <c r="I52" s="6" t="s">
        <v>12</v>
      </c>
      <c r="J52" s="6" t="s">
        <v>13</v>
      </c>
      <c r="K52" s="6" t="s">
        <v>14</v>
      </c>
      <c r="L52" s="6" t="s">
        <v>15</v>
      </c>
      <c r="M52" s="6" t="s">
        <v>16</v>
      </c>
      <c r="N52" s="6" t="s">
        <v>17</v>
      </c>
      <c r="O52" s="6" t="s">
        <v>18</v>
      </c>
    </row>
    <row r="53" spans="1:15" x14ac:dyDescent="0.25">
      <c r="A53" s="3" t="s">
        <v>386</v>
      </c>
      <c r="B53" s="3" t="s">
        <v>387</v>
      </c>
      <c r="C53" s="4">
        <v>45964</v>
      </c>
      <c r="D53" s="3" t="s">
        <v>21</v>
      </c>
      <c r="E53" s="3" t="s">
        <v>38</v>
      </c>
      <c r="F53" s="3" t="s">
        <v>315</v>
      </c>
      <c r="G53" s="3" t="s">
        <v>347</v>
      </c>
      <c r="H53" s="3" t="s">
        <v>326</v>
      </c>
      <c r="I53" s="3" t="s">
        <v>948</v>
      </c>
      <c r="J53" s="3" t="s">
        <v>949</v>
      </c>
      <c r="K53" s="3" t="s">
        <v>403</v>
      </c>
      <c r="L53" s="3" t="s">
        <v>404</v>
      </c>
      <c r="M53" s="8">
        <v>1</v>
      </c>
      <c r="N53" s="9">
        <v>5.45</v>
      </c>
      <c r="O53" s="8">
        <v>70.430000000000007</v>
      </c>
    </row>
    <row r="54" spans="1:15" x14ac:dyDescent="0.25">
      <c r="A54" s="3" t="s">
        <v>386</v>
      </c>
      <c r="B54" s="3" t="s">
        <v>387</v>
      </c>
      <c r="C54" s="4">
        <v>45964</v>
      </c>
      <c r="D54" s="3" t="s">
        <v>21</v>
      </c>
      <c r="E54" s="3" t="s">
        <v>38</v>
      </c>
      <c r="F54" s="3" t="s">
        <v>315</v>
      </c>
      <c r="G54" s="3" t="s">
        <v>347</v>
      </c>
      <c r="H54" s="3" t="s">
        <v>326</v>
      </c>
      <c r="I54" s="3" t="s">
        <v>26</v>
      </c>
      <c r="J54" s="3" t="s">
        <v>950</v>
      </c>
      <c r="K54" s="3" t="s">
        <v>403</v>
      </c>
      <c r="L54" s="3" t="s">
        <v>404</v>
      </c>
      <c r="M54" s="8">
        <v>1</v>
      </c>
      <c r="N54" s="9">
        <v>5.55</v>
      </c>
      <c r="O54" s="8">
        <v>71.72</v>
      </c>
    </row>
    <row r="55" spans="1:15" x14ac:dyDescent="0.25">
      <c r="A55" s="3" t="s">
        <v>386</v>
      </c>
      <c r="B55" s="3" t="s">
        <v>387</v>
      </c>
      <c r="C55" s="4">
        <v>45976</v>
      </c>
      <c r="D55" s="3" t="s">
        <v>21</v>
      </c>
      <c r="E55" s="3" t="s">
        <v>22</v>
      </c>
      <c r="F55" s="3" t="s">
        <v>315</v>
      </c>
      <c r="G55" s="3" t="s">
        <v>347</v>
      </c>
      <c r="H55" s="3" t="s">
        <v>326</v>
      </c>
      <c r="I55" s="3" t="s">
        <v>26</v>
      </c>
      <c r="J55" s="3" t="s">
        <v>951</v>
      </c>
      <c r="K55" s="3" t="s">
        <v>71</v>
      </c>
      <c r="L55" s="3" t="s">
        <v>63</v>
      </c>
      <c r="M55" s="8">
        <v>1</v>
      </c>
      <c r="N55" s="9">
        <v>5.35</v>
      </c>
      <c r="O55" s="8">
        <v>69.14</v>
      </c>
    </row>
    <row r="56" spans="1:15" x14ac:dyDescent="0.25">
      <c r="A56" s="3" t="s">
        <v>386</v>
      </c>
      <c r="B56" s="3" t="s">
        <v>387</v>
      </c>
      <c r="C56" s="4">
        <v>45981</v>
      </c>
      <c r="D56" s="3" t="s">
        <v>21</v>
      </c>
      <c r="E56" s="3" t="s">
        <v>30</v>
      </c>
      <c r="F56" s="3" t="s">
        <v>315</v>
      </c>
      <c r="G56" s="3" t="s">
        <v>347</v>
      </c>
      <c r="H56" s="3" t="s">
        <v>326</v>
      </c>
      <c r="I56" s="3" t="s">
        <v>26</v>
      </c>
      <c r="J56" s="3" t="s">
        <v>952</v>
      </c>
      <c r="K56" s="3" t="s">
        <v>390</v>
      </c>
      <c r="L56" s="3" t="s">
        <v>47</v>
      </c>
      <c r="M56" s="8">
        <v>1</v>
      </c>
      <c r="N56" s="9">
        <v>8.4</v>
      </c>
      <c r="O56" s="8">
        <v>108.55</v>
      </c>
    </row>
    <row r="57" spans="1:15" x14ac:dyDescent="0.25">
      <c r="A57" s="3" t="s">
        <v>386</v>
      </c>
      <c r="B57" s="3" t="s">
        <v>387</v>
      </c>
      <c r="C57" s="4">
        <v>45983</v>
      </c>
      <c r="D57" s="3" t="s">
        <v>21</v>
      </c>
      <c r="E57" s="3" t="s">
        <v>22</v>
      </c>
      <c r="F57" s="3" t="s">
        <v>315</v>
      </c>
      <c r="G57" s="3" t="s">
        <v>347</v>
      </c>
      <c r="H57" s="3" t="s">
        <v>326</v>
      </c>
      <c r="I57" s="3" t="s">
        <v>26</v>
      </c>
      <c r="J57" s="3" t="s">
        <v>953</v>
      </c>
      <c r="K57" s="3" t="s">
        <v>390</v>
      </c>
      <c r="L57" s="3" t="s">
        <v>34</v>
      </c>
      <c r="M57" s="8">
        <v>1</v>
      </c>
      <c r="N57" s="9">
        <v>5.0999999999999996</v>
      </c>
      <c r="O57" s="8">
        <v>65.91</v>
      </c>
    </row>
    <row r="58" spans="1:15" x14ac:dyDescent="0.25">
      <c r="A58" s="10" t="s">
        <v>1</v>
      </c>
      <c r="B58" s="10" t="s">
        <v>954</v>
      </c>
      <c r="C58" s="10" t="s">
        <v>1</v>
      </c>
      <c r="D58" s="10" t="s">
        <v>1</v>
      </c>
      <c r="E58" s="10" t="s">
        <v>1</v>
      </c>
      <c r="F58" s="10" t="s">
        <v>1</v>
      </c>
      <c r="G58" s="10" t="s">
        <v>1</v>
      </c>
      <c r="H58" s="10" t="s">
        <v>1</v>
      </c>
      <c r="I58" s="10" t="s">
        <v>1</v>
      </c>
      <c r="J58" s="10" t="s">
        <v>1</v>
      </c>
      <c r="K58" s="10" t="s">
        <v>1</v>
      </c>
      <c r="L58" s="10" t="s">
        <v>1</v>
      </c>
      <c r="M58" s="11">
        <v>5</v>
      </c>
      <c r="N58" s="11">
        <v>29.85</v>
      </c>
      <c r="O58" s="11">
        <v>385.75</v>
      </c>
    </row>
    <row r="59" spans="1:15" x14ac:dyDescent="0.25">
      <c r="B59" s="2" t="s">
        <v>1</v>
      </c>
    </row>
    <row r="60" spans="1:15" x14ac:dyDescent="0.25">
      <c r="B60" s="2" t="s">
        <v>955</v>
      </c>
    </row>
    <row r="61" spans="1:15" x14ac:dyDescent="0.25">
      <c r="B61" s="2" t="s">
        <v>1</v>
      </c>
    </row>
    <row r="62" spans="1:15" x14ac:dyDescent="0.25">
      <c r="A62" s="6" t="s">
        <v>4</v>
      </c>
      <c r="B62" s="6" t="s">
        <v>5</v>
      </c>
      <c r="C62" s="6" t="s">
        <v>6</v>
      </c>
      <c r="D62" s="6" t="s">
        <v>7</v>
      </c>
      <c r="E62" s="6" t="s">
        <v>8</v>
      </c>
      <c r="F62" s="6" t="s">
        <v>9</v>
      </c>
      <c r="G62" s="6" t="s">
        <v>10</v>
      </c>
      <c r="H62" s="6" t="s">
        <v>11</v>
      </c>
      <c r="I62" s="6" t="s">
        <v>12</v>
      </c>
      <c r="J62" s="6" t="s">
        <v>13</v>
      </c>
      <c r="K62" s="6" t="s">
        <v>14</v>
      </c>
      <c r="L62" s="6" t="s">
        <v>15</v>
      </c>
      <c r="M62" s="6" t="s">
        <v>16</v>
      </c>
      <c r="N62" s="6" t="s">
        <v>17</v>
      </c>
      <c r="O62" s="6" t="s">
        <v>18</v>
      </c>
    </row>
    <row r="63" spans="1:15" x14ac:dyDescent="0.25">
      <c r="A63" s="3" t="s">
        <v>386</v>
      </c>
      <c r="B63" s="3" t="s">
        <v>400</v>
      </c>
      <c r="C63" s="4">
        <v>45965</v>
      </c>
      <c r="D63" s="3" t="s">
        <v>21</v>
      </c>
      <c r="E63" s="3" t="s">
        <v>58</v>
      </c>
      <c r="F63" s="3" t="s">
        <v>315</v>
      </c>
      <c r="G63" s="3" t="s">
        <v>347</v>
      </c>
      <c r="H63" s="3" t="s">
        <v>326</v>
      </c>
      <c r="I63" s="3" t="s">
        <v>956</v>
      </c>
      <c r="J63" s="3" t="s">
        <v>957</v>
      </c>
      <c r="K63" s="3" t="s">
        <v>403</v>
      </c>
      <c r="L63" s="3" t="s">
        <v>404</v>
      </c>
      <c r="M63" s="8">
        <v>1</v>
      </c>
      <c r="N63" s="9">
        <v>4.55</v>
      </c>
      <c r="O63" s="8">
        <v>58.8</v>
      </c>
    </row>
    <row r="64" spans="1:15" x14ac:dyDescent="0.25">
      <c r="A64" s="3" t="s">
        <v>386</v>
      </c>
      <c r="B64" s="3" t="s">
        <v>400</v>
      </c>
      <c r="C64" s="4">
        <v>45966</v>
      </c>
      <c r="D64" s="3" t="s">
        <v>21</v>
      </c>
      <c r="E64" s="3" t="s">
        <v>35</v>
      </c>
      <c r="F64" s="3" t="s">
        <v>315</v>
      </c>
      <c r="G64" s="3" t="s">
        <v>347</v>
      </c>
      <c r="H64" s="3" t="s">
        <v>326</v>
      </c>
      <c r="I64" s="3" t="s">
        <v>26</v>
      </c>
      <c r="J64" s="3" t="s">
        <v>958</v>
      </c>
      <c r="K64" s="3" t="s">
        <v>33</v>
      </c>
      <c r="L64" s="3" t="s">
        <v>47</v>
      </c>
      <c r="M64" s="8">
        <v>1</v>
      </c>
      <c r="N64" s="9">
        <v>5.35</v>
      </c>
      <c r="O64" s="8">
        <v>69.14</v>
      </c>
    </row>
    <row r="65" spans="1:15" x14ac:dyDescent="0.25">
      <c r="A65" s="3" t="s">
        <v>386</v>
      </c>
      <c r="B65" s="3" t="s">
        <v>400</v>
      </c>
      <c r="C65" s="4">
        <v>45969</v>
      </c>
      <c r="D65" s="3" t="s">
        <v>21</v>
      </c>
      <c r="E65" s="3" t="s">
        <v>22</v>
      </c>
      <c r="F65" s="3" t="s">
        <v>315</v>
      </c>
      <c r="G65" s="3" t="s">
        <v>347</v>
      </c>
      <c r="H65" s="3" t="s">
        <v>326</v>
      </c>
      <c r="I65" s="3" t="s">
        <v>26</v>
      </c>
      <c r="J65" s="3" t="s">
        <v>959</v>
      </c>
      <c r="K65" s="3" t="s">
        <v>390</v>
      </c>
      <c r="L65" s="3" t="s">
        <v>47</v>
      </c>
      <c r="M65" s="8">
        <v>1</v>
      </c>
      <c r="N65" s="9">
        <v>6.7</v>
      </c>
      <c r="O65" s="8">
        <v>86.58</v>
      </c>
    </row>
    <row r="66" spans="1:15" x14ac:dyDescent="0.25">
      <c r="A66" s="3" t="s">
        <v>386</v>
      </c>
      <c r="B66" s="3" t="s">
        <v>400</v>
      </c>
      <c r="C66" s="4">
        <v>45971</v>
      </c>
      <c r="D66" s="3" t="s">
        <v>21</v>
      </c>
      <c r="E66" s="3" t="s">
        <v>38</v>
      </c>
      <c r="F66" s="3" t="s">
        <v>315</v>
      </c>
      <c r="G66" s="3" t="s">
        <v>347</v>
      </c>
      <c r="H66" s="3" t="s">
        <v>326</v>
      </c>
      <c r="I66" s="3" t="s">
        <v>26</v>
      </c>
      <c r="J66" s="3" t="s">
        <v>960</v>
      </c>
      <c r="K66" s="3" t="s">
        <v>91</v>
      </c>
      <c r="L66" s="3" t="s">
        <v>92</v>
      </c>
      <c r="M66" s="8">
        <v>1</v>
      </c>
      <c r="N66" s="9">
        <v>6.1</v>
      </c>
      <c r="O66" s="8">
        <v>78.83</v>
      </c>
    </row>
    <row r="67" spans="1:15" x14ac:dyDescent="0.25">
      <c r="A67" s="3" t="s">
        <v>386</v>
      </c>
      <c r="B67" s="3" t="s">
        <v>400</v>
      </c>
      <c r="C67" s="4">
        <v>45981</v>
      </c>
      <c r="D67" s="3" t="s">
        <v>21</v>
      </c>
      <c r="E67" s="3" t="s">
        <v>30</v>
      </c>
      <c r="F67" s="3" t="s">
        <v>315</v>
      </c>
      <c r="G67" s="3" t="s">
        <v>347</v>
      </c>
      <c r="H67" s="3" t="s">
        <v>326</v>
      </c>
      <c r="I67" s="3" t="s">
        <v>26</v>
      </c>
      <c r="J67" s="3" t="s">
        <v>961</v>
      </c>
      <c r="K67" s="3" t="s">
        <v>393</v>
      </c>
      <c r="L67" s="3" t="s">
        <v>68</v>
      </c>
      <c r="M67" s="8">
        <v>1</v>
      </c>
      <c r="N67" s="9">
        <v>7.55</v>
      </c>
      <c r="O67" s="8">
        <v>97.57</v>
      </c>
    </row>
    <row r="68" spans="1:15" x14ac:dyDescent="0.25">
      <c r="A68" s="3" t="s">
        <v>386</v>
      </c>
      <c r="B68" s="3" t="s">
        <v>400</v>
      </c>
      <c r="C68" s="4">
        <v>45982</v>
      </c>
      <c r="D68" s="3" t="s">
        <v>21</v>
      </c>
      <c r="E68" s="3" t="s">
        <v>44</v>
      </c>
      <c r="F68" s="3" t="s">
        <v>315</v>
      </c>
      <c r="G68" s="3" t="s">
        <v>347</v>
      </c>
      <c r="H68" s="3" t="s">
        <v>326</v>
      </c>
      <c r="I68" s="3" t="s">
        <v>26</v>
      </c>
      <c r="J68" s="3" t="s">
        <v>962</v>
      </c>
      <c r="K68" s="3" t="s">
        <v>390</v>
      </c>
      <c r="L68" s="3" t="s">
        <v>47</v>
      </c>
      <c r="M68" s="8">
        <v>1</v>
      </c>
      <c r="N68" s="9">
        <v>6.75</v>
      </c>
      <c r="O68" s="8">
        <v>87.23</v>
      </c>
    </row>
    <row r="69" spans="1:15" x14ac:dyDescent="0.25">
      <c r="A69" s="3" t="s">
        <v>386</v>
      </c>
      <c r="B69" s="3" t="s">
        <v>400</v>
      </c>
      <c r="C69" s="4">
        <v>45987</v>
      </c>
      <c r="D69" s="3" t="s">
        <v>21</v>
      </c>
      <c r="E69" s="3" t="s">
        <v>35</v>
      </c>
      <c r="F69" s="3" t="s">
        <v>315</v>
      </c>
      <c r="G69" s="3" t="s">
        <v>347</v>
      </c>
      <c r="H69" s="3" t="s">
        <v>326</v>
      </c>
      <c r="I69" s="3" t="s">
        <v>963</v>
      </c>
      <c r="J69" s="3" t="s">
        <v>964</v>
      </c>
      <c r="K69" s="3" t="s">
        <v>403</v>
      </c>
      <c r="L69" s="3" t="s">
        <v>404</v>
      </c>
      <c r="M69" s="8">
        <v>1</v>
      </c>
      <c r="N69" s="9">
        <v>4.55</v>
      </c>
      <c r="O69" s="8">
        <v>58.8</v>
      </c>
    </row>
    <row r="70" spans="1:15" x14ac:dyDescent="0.25">
      <c r="A70" s="10" t="s">
        <v>1</v>
      </c>
      <c r="B70" s="10" t="s">
        <v>965</v>
      </c>
      <c r="C70" s="10" t="s">
        <v>1</v>
      </c>
      <c r="D70" s="10" t="s">
        <v>1</v>
      </c>
      <c r="E70" s="10" t="s">
        <v>1</v>
      </c>
      <c r="F70" s="10" t="s">
        <v>1</v>
      </c>
      <c r="G70" s="10" t="s">
        <v>1</v>
      </c>
      <c r="H70" s="10" t="s">
        <v>1</v>
      </c>
      <c r="I70" s="10" t="s">
        <v>1</v>
      </c>
      <c r="J70" s="10" t="s">
        <v>1</v>
      </c>
      <c r="K70" s="10" t="s">
        <v>1</v>
      </c>
      <c r="L70" s="10" t="s">
        <v>1</v>
      </c>
      <c r="M70" s="11">
        <v>7</v>
      </c>
      <c r="N70" s="11">
        <v>41.55</v>
      </c>
      <c r="O70" s="11">
        <v>536.94000000000005</v>
      </c>
    </row>
    <row r="71" spans="1:15" x14ac:dyDescent="0.25">
      <c r="B71" s="2" t="s">
        <v>1</v>
      </c>
    </row>
    <row r="72" spans="1:15" x14ac:dyDescent="0.25">
      <c r="B72" s="2" t="s">
        <v>972</v>
      </c>
    </row>
    <row r="73" spans="1:15" x14ac:dyDescent="0.25">
      <c r="B73" s="2" t="s">
        <v>1</v>
      </c>
    </row>
    <row r="74" spans="1:15" x14ac:dyDescent="0.25">
      <c r="A74" s="6" t="s">
        <v>4</v>
      </c>
      <c r="B74" s="6" t="s">
        <v>5</v>
      </c>
      <c r="C74" s="6" t="s">
        <v>6</v>
      </c>
      <c r="D74" s="6" t="s">
        <v>7</v>
      </c>
      <c r="E74" s="6" t="s">
        <v>8</v>
      </c>
      <c r="F74" s="6" t="s">
        <v>9</v>
      </c>
      <c r="G74" s="6" t="s">
        <v>10</v>
      </c>
      <c r="H74" s="6" t="s">
        <v>11</v>
      </c>
      <c r="I74" s="6" t="s">
        <v>12</v>
      </c>
      <c r="J74" s="6" t="s">
        <v>13</v>
      </c>
      <c r="K74" s="6" t="s">
        <v>14</v>
      </c>
      <c r="L74" s="6" t="s">
        <v>15</v>
      </c>
      <c r="M74" s="6" t="s">
        <v>16</v>
      </c>
      <c r="N74" s="6" t="s">
        <v>17</v>
      </c>
      <c r="O74" s="6" t="s">
        <v>18</v>
      </c>
    </row>
    <row r="75" spans="1:15" x14ac:dyDescent="0.25">
      <c r="A75" s="3" t="s">
        <v>386</v>
      </c>
      <c r="B75" s="3" t="s">
        <v>713</v>
      </c>
      <c r="C75" s="4">
        <v>45967</v>
      </c>
      <c r="D75" s="3" t="s">
        <v>21</v>
      </c>
      <c r="E75" s="3" t="s">
        <v>30</v>
      </c>
      <c r="F75" s="3" t="s">
        <v>315</v>
      </c>
      <c r="G75" s="3" t="s">
        <v>347</v>
      </c>
      <c r="H75" s="3" t="s">
        <v>326</v>
      </c>
      <c r="I75" s="3" t="s">
        <v>26</v>
      </c>
      <c r="J75" s="3" t="s">
        <v>973</v>
      </c>
      <c r="K75" s="3" t="s">
        <v>390</v>
      </c>
      <c r="L75" s="3" t="s">
        <v>63</v>
      </c>
      <c r="M75" s="8">
        <v>1</v>
      </c>
      <c r="N75" s="9">
        <v>6</v>
      </c>
      <c r="O75" s="8">
        <v>77.540000000000006</v>
      </c>
    </row>
    <row r="76" spans="1:15" x14ac:dyDescent="0.25">
      <c r="A76" s="3" t="s">
        <v>386</v>
      </c>
      <c r="B76" s="3" t="s">
        <v>713</v>
      </c>
      <c r="C76" s="4">
        <v>45975</v>
      </c>
      <c r="D76" s="3" t="s">
        <v>21</v>
      </c>
      <c r="E76" s="3" t="s">
        <v>44</v>
      </c>
      <c r="F76" s="3" t="s">
        <v>315</v>
      </c>
      <c r="G76" s="3" t="s">
        <v>347</v>
      </c>
      <c r="H76" s="3" t="s">
        <v>326</v>
      </c>
      <c r="I76" s="3" t="s">
        <v>26</v>
      </c>
      <c r="J76" s="3" t="s">
        <v>974</v>
      </c>
      <c r="K76" s="3" t="s">
        <v>403</v>
      </c>
      <c r="L76" s="3" t="s">
        <v>404</v>
      </c>
      <c r="M76" s="8">
        <v>1</v>
      </c>
      <c r="N76" s="9">
        <v>7.1</v>
      </c>
      <c r="O76" s="8">
        <v>91.75</v>
      </c>
    </row>
    <row r="77" spans="1:15" x14ac:dyDescent="0.25">
      <c r="A77" s="3" t="s">
        <v>386</v>
      </c>
      <c r="B77" s="3" t="s">
        <v>713</v>
      </c>
      <c r="C77" s="4">
        <v>45982</v>
      </c>
      <c r="D77" s="3" t="s">
        <v>21</v>
      </c>
      <c r="E77" s="3" t="s">
        <v>44</v>
      </c>
      <c r="F77" s="3" t="s">
        <v>315</v>
      </c>
      <c r="G77" s="3" t="s">
        <v>347</v>
      </c>
      <c r="H77" s="3" t="s">
        <v>326</v>
      </c>
      <c r="I77" s="3" t="s">
        <v>975</v>
      </c>
      <c r="J77" s="3" t="s">
        <v>976</v>
      </c>
      <c r="K77" s="3" t="s">
        <v>393</v>
      </c>
      <c r="L77" s="3" t="s">
        <v>68</v>
      </c>
      <c r="M77" s="8">
        <v>1</v>
      </c>
      <c r="N77" s="9">
        <v>6.45</v>
      </c>
      <c r="O77" s="8">
        <v>83.35</v>
      </c>
    </row>
    <row r="78" spans="1:15" x14ac:dyDescent="0.25">
      <c r="A78" s="3" t="s">
        <v>386</v>
      </c>
      <c r="B78" s="3" t="s">
        <v>713</v>
      </c>
      <c r="C78" s="4">
        <v>45983</v>
      </c>
      <c r="D78" s="3" t="s">
        <v>21</v>
      </c>
      <c r="E78" s="3" t="s">
        <v>22</v>
      </c>
      <c r="F78" s="3" t="s">
        <v>315</v>
      </c>
      <c r="G78" s="3" t="s">
        <v>347</v>
      </c>
      <c r="H78" s="3" t="s">
        <v>326</v>
      </c>
      <c r="I78" s="3" t="s">
        <v>26</v>
      </c>
      <c r="J78" s="3" t="s">
        <v>977</v>
      </c>
      <c r="K78" s="3" t="s">
        <v>390</v>
      </c>
      <c r="L78" s="3" t="s">
        <v>34</v>
      </c>
      <c r="M78" s="8">
        <v>1</v>
      </c>
      <c r="N78" s="9">
        <v>6.35</v>
      </c>
      <c r="O78" s="8">
        <v>82.06</v>
      </c>
    </row>
    <row r="79" spans="1:15" x14ac:dyDescent="0.25">
      <c r="A79" s="3" t="s">
        <v>386</v>
      </c>
      <c r="B79" s="3" t="s">
        <v>713</v>
      </c>
      <c r="C79" s="4">
        <v>45985</v>
      </c>
      <c r="D79" s="3" t="s">
        <v>21</v>
      </c>
      <c r="E79" s="3" t="s">
        <v>38</v>
      </c>
      <c r="F79" s="3" t="s">
        <v>315</v>
      </c>
      <c r="G79" s="3" t="s">
        <v>347</v>
      </c>
      <c r="H79" s="3" t="s">
        <v>326</v>
      </c>
      <c r="I79" s="3" t="s">
        <v>26</v>
      </c>
      <c r="J79" s="3" t="s">
        <v>978</v>
      </c>
      <c r="K79" s="3" t="s">
        <v>403</v>
      </c>
      <c r="L79" s="3" t="s">
        <v>404</v>
      </c>
      <c r="M79" s="8">
        <v>1</v>
      </c>
      <c r="N79" s="9">
        <v>6.75</v>
      </c>
      <c r="O79" s="8">
        <v>87.23</v>
      </c>
    </row>
    <row r="80" spans="1:15" x14ac:dyDescent="0.25">
      <c r="A80" s="3" t="s">
        <v>386</v>
      </c>
      <c r="B80" s="3" t="s">
        <v>713</v>
      </c>
      <c r="C80" s="4">
        <v>45986</v>
      </c>
      <c r="D80" s="3" t="s">
        <v>21</v>
      </c>
      <c r="E80" s="3" t="s">
        <v>58</v>
      </c>
      <c r="F80" s="3" t="s">
        <v>315</v>
      </c>
      <c r="G80" s="3" t="s">
        <v>347</v>
      </c>
      <c r="H80" s="3" t="s">
        <v>326</v>
      </c>
      <c r="I80" s="3" t="s">
        <v>26</v>
      </c>
      <c r="J80" s="3" t="s">
        <v>979</v>
      </c>
      <c r="K80" s="3" t="s">
        <v>403</v>
      </c>
      <c r="L80" s="3" t="s">
        <v>404</v>
      </c>
      <c r="M80" s="8">
        <v>1</v>
      </c>
      <c r="N80" s="9">
        <v>7.4</v>
      </c>
      <c r="O80" s="8">
        <v>95.63</v>
      </c>
    </row>
    <row r="81" spans="1:15" x14ac:dyDescent="0.25">
      <c r="A81" s="3" t="s">
        <v>386</v>
      </c>
      <c r="B81" s="3" t="s">
        <v>713</v>
      </c>
      <c r="C81" s="4">
        <v>45989</v>
      </c>
      <c r="D81" s="3" t="s">
        <v>21</v>
      </c>
      <c r="E81" s="3" t="s">
        <v>44</v>
      </c>
      <c r="F81" s="3" t="s">
        <v>315</v>
      </c>
      <c r="G81" s="3" t="s">
        <v>347</v>
      </c>
      <c r="H81" s="3" t="s">
        <v>326</v>
      </c>
      <c r="I81" s="3" t="s">
        <v>26</v>
      </c>
      <c r="J81" s="3" t="s">
        <v>980</v>
      </c>
      <c r="K81" s="3" t="s">
        <v>390</v>
      </c>
      <c r="L81" s="3" t="s">
        <v>34</v>
      </c>
      <c r="M81" s="8">
        <v>1</v>
      </c>
      <c r="N81" s="9">
        <v>7.2</v>
      </c>
      <c r="O81" s="8">
        <v>93.04</v>
      </c>
    </row>
    <row r="82" spans="1:15" x14ac:dyDescent="0.25">
      <c r="A82" s="10" t="s">
        <v>1</v>
      </c>
      <c r="B82" s="10" t="s">
        <v>981</v>
      </c>
      <c r="C82" s="10" t="s">
        <v>1</v>
      </c>
      <c r="D82" s="10" t="s">
        <v>1</v>
      </c>
      <c r="E82" s="10" t="s">
        <v>1</v>
      </c>
      <c r="F82" s="10" t="s">
        <v>1</v>
      </c>
      <c r="G82" s="10" t="s">
        <v>1</v>
      </c>
      <c r="H82" s="10" t="s">
        <v>1</v>
      </c>
      <c r="I82" s="10" t="s">
        <v>1</v>
      </c>
      <c r="J82" s="10" t="s">
        <v>1</v>
      </c>
      <c r="K82" s="10" t="s">
        <v>1</v>
      </c>
      <c r="L82" s="10" t="s">
        <v>1</v>
      </c>
      <c r="M82" s="11">
        <v>7</v>
      </c>
      <c r="N82" s="11">
        <v>47.25</v>
      </c>
      <c r="O82" s="11">
        <v>610.6</v>
      </c>
    </row>
    <row r="83" spans="1:15" x14ac:dyDescent="0.25">
      <c r="A83" s="10" t="s">
        <v>1</v>
      </c>
      <c r="B83" s="10" t="s">
        <v>982</v>
      </c>
      <c r="C83" s="10" t="s">
        <v>1</v>
      </c>
      <c r="D83" s="10" t="s">
        <v>1</v>
      </c>
      <c r="E83" s="10" t="s">
        <v>1</v>
      </c>
      <c r="F83" s="10" t="s">
        <v>1</v>
      </c>
      <c r="G83" s="10" t="s">
        <v>1</v>
      </c>
      <c r="H83" s="10" t="s">
        <v>1</v>
      </c>
      <c r="I83" s="10" t="s">
        <v>1</v>
      </c>
      <c r="J83" s="10" t="s">
        <v>1</v>
      </c>
      <c r="K83" s="10" t="s">
        <v>1</v>
      </c>
      <c r="L83" s="10" t="s">
        <v>1</v>
      </c>
      <c r="M83" s="11">
        <f>SUM(M16,M24,M30,M41,M48,M58,M70,M82)</f>
        <v>34</v>
      </c>
      <c r="N83" s="11">
        <v>214.6</v>
      </c>
      <c r="O83" s="11">
        <v>2773.24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O58"/>
  <sheetViews>
    <sheetView topLeftCell="A40" workbookViewId="0"/>
  </sheetViews>
  <sheetFormatPr baseColWidth="10" defaultColWidth="9.140625" defaultRowHeight="15" x14ac:dyDescent="0.25"/>
  <cols>
    <col min="1" max="1" width="25.7109375" bestFit="1" customWidth="1"/>
    <col min="2" max="2" width="74.28515625" bestFit="1" customWidth="1"/>
    <col min="3" max="3" width="9.28515625" bestFit="1" customWidth="1"/>
    <col min="4" max="4" width="6" bestFit="1" customWidth="1"/>
    <col min="5" max="5" width="8.140625" bestFit="1" customWidth="1"/>
    <col min="6" max="6" width="33.140625" bestFit="1" customWidth="1"/>
    <col min="7" max="7" width="23.5703125" bestFit="1" customWidth="1"/>
    <col min="8" max="8" width="13.42578125" bestFit="1" customWidth="1"/>
    <col min="9" max="9" width="12.5703125" bestFit="1" customWidth="1"/>
    <col min="10" max="10" width="14.5703125" bestFit="1" customWidth="1"/>
    <col min="11" max="11" width="12.28515625" bestFit="1" customWidth="1"/>
    <col min="12" max="12" width="8.855468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983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922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4" t="s">
        <v>386</v>
      </c>
      <c r="B13" s="14" t="s">
        <v>444</v>
      </c>
      <c r="C13" s="7">
        <v>45963</v>
      </c>
      <c r="D13" s="14" t="s">
        <v>21</v>
      </c>
      <c r="E13" s="14" t="s">
        <v>85</v>
      </c>
      <c r="F13" s="14" t="s">
        <v>360</v>
      </c>
      <c r="G13" s="14" t="s">
        <v>347</v>
      </c>
      <c r="H13" s="14" t="s">
        <v>316</v>
      </c>
      <c r="I13" s="14" t="s">
        <v>26</v>
      </c>
      <c r="J13" s="14" t="s">
        <v>984</v>
      </c>
      <c r="K13" s="14" t="s">
        <v>393</v>
      </c>
      <c r="L13" s="14" t="s">
        <v>68</v>
      </c>
      <c r="M13" s="15">
        <v>1</v>
      </c>
      <c r="N13" s="15">
        <v>6.6</v>
      </c>
      <c r="O13" s="15">
        <v>101.7</v>
      </c>
    </row>
    <row r="14" spans="1:15" x14ac:dyDescent="0.25">
      <c r="A14" s="10" t="s">
        <v>1</v>
      </c>
      <c r="B14" s="10" t="s">
        <v>929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6.6</v>
      </c>
      <c r="O14" s="11">
        <v>101.7</v>
      </c>
    </row>
    <row r="15" spans="1:15" x14ac:dyDescent="0.25">
      <c r="B15" s="2" t="s">
        <v>1</v>
      </c>
    </row>
    <row r="16" spans="1:15" x14ac:dyDescent="0.25">
      <c r="B16" s="2" t="s">
        <v>933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2" t="s">
        <v>386</v>
      </c>
      <c r="B19" s="12" t="s">
        <v>434</v>
      </c>
      <c r="C19" s="7">
        <v>45972</v>
      </c>
      <c r="D19" s="12" t="s">
        <v>82</v>
      </c>
      <c r="E19" s="12" t="s">
        <v>58</v>
      </c>
      <c r="F19" s="12" t="s">
        <v>360</v>
      </c>
      <c r="G19" s="12" t="s">
        <v>347</v>
      </c>
      <c r="H19" s="12" t="s">
        <v>316</v>
      </c>
      <c r="I19" s="12" t="s">
        <v>26</v>
      </c>
      <c r="J19" s="12" t="s">
        <v>985</v>
      </c>
      <c r="K19" s="12" t="s">
        <v>403</v>
      </c>
      <c r="L19" s="12" t="s">
        <v>404</v>
      </c>
      <c r="M19" s="13">
        <v>1</v>
      </c>
      <c r="N19" s="13">
        <v>7.4</v>
      </c>
      <c r="O19" s="13">
        <v>114.03</v>
      </c>
    </row>
    <row r="20" spans="1:15" x14ac:dyDescent="0.25">
      <c r="A20" s="10" t="s">
        <v>1</v>
      </c>
      <c r="B20" s="10" t="s">
        <v>942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7.4</v>
      </c>
      <c r="O20" s="11">
        <v>114.03</v>
      </c>
    </row>
    <row r="21" spans="1:15" x14ac:dyDescent="0.25">
      <c r="A21" s="5" t="s">
        <v>1</v>
      </c>
      <c r="B21" s="5" t="s">
        <v>363</v>
      </c>
      <c r="C21" s="5" t="s">
        <v>1</v>
      </c>
      <c r="D21" s="5" t="s">
        <v>1</v>
      </c>
      <c r="E21" s="5" t="s">
        <v>1</v>
      </c>
      <c r="F21" s="5" t="s">
        <v>1</v>
      </c>
      <c r="G21" s="5" t="s">
        <v>1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  <c r="M21" s="8">
        <v>2</v>
      </c>
      <c r="N21" s="9">
        <v>14</v>
      </c>
      <c r="O21" s="8">
        <v>215.73</v>
      </c>
    </row>
    <row r="22" spans="1:15" x14ac:dyDescent="0.25">
      <c r="B22" s="2" t="s">
        <v>1</v>
      </c>
    </row>
    <row r="23" spans="1:15" x14ac:dyDescent="0.25">
      <c r="B23" s="2" t="s">
        <v>943</v>
      </c>
    </row>
    <row r="24" spans="1:15" x14ac:dyDescent="0.25">
      <c r="B24" s="2" t="s">
        <v>1</v>
      </c>
    </row>
    <row r="25" spans="1:15" x14ac:dyDescent="0.25">
      <c r="A25" s="6" t="s">
        <v>4</v>
      </c>
      <c r="B25" s="6" t="s">
        <v>5</v>
      </c>
      <c r="C25" s="6" t="s">
        <v>6</v>
      </c>
      <c r="D25" s="6" t="s">
        <v>7</v>
      </c>
      <c r="E25" s="6" t="s">
        <v>8</v>
      </c>
      <c r="F25" s="6" t="s">
        <v>9</v>
      </c>
      <c r="G25" s="6" t="s">
        <v>10</v>
      </c>
      <c r="H25" s="6" t="s">
        <v>11</v>
      </c>
      <c r="I25" s="6" t="s">
        <v>12</v>
      </c>
      <c r="J25" s="6" t="s">
        <v>13</v>
      </c>
      <c r="K25" s="6" t="s">
        <v>14</v>
      </c>
      <c r="L25" s="6" t="s">
        <v>15</v>
      </c>
      <c r="M25" s="6" t="s">
        <v>16</v>
      </c>
      <c r="N25" s="6" t="s">
        <v>17</v>
      </c>
      <c r="O25" s="6" t="s">
        <v>18</v>
      </c>
    </row>
    <row r="26" spans="1:15" x14ac:dyDescent="0.25">
      <c r="A26" s="12" t="s">
        <v>386</v>
      </c>
      <c r="B26" s="12" t="s">
        <v>444</v>
      </c>
      <c r="C26" s="7">
        <v>45972</v>
      </c>
      <c r="D26" s="12" t="s">
        <v>82</v>
      </c>
      <c r="E26" s="12" t="s">
        <v>58</v>
      </c>
      <c r="F26" s="12" t="s">
        <v>360</v>
      </c>
      <c r="G26" s="12" t="s">
        <v>347</v>
      </c>
      <c r="H26" s="12" t="s">
        <v>326</v>
      </c>
      <c r="I26" s="12" t="s">
        <v>26</v>
      </c>
      <c r="J26" s="12" t="s">
        <v>986</v>
      </c>
      <c r="K26" s="12" t="s">
        <v>201</v>
      </c>
      <c r="L26" s="12" t="s">
        <v>202</v>
      </c>
      <c r="M26" s="13">
        <v>1</v>
      </c>
      <c r="N26" s="13">
        <v>5.0999999999999996</v>
      </c>
      <c r="O26" s="13">
        <v>78.59</v>
      </c>
    </row>
    <row r="27" spans="1:15" x14ac:dyDescent="0.25">
      <c r="A27" s="10" t="s">
        <v>1</v>
      </c>
      <c r="B27" s="10" t="s">
        <v>946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1">
        <v>1</v>
      </c>
      <c r="N27" s="11">
        <v>5.0999999999999996</v>
      </c>
      <c r="O27" s="11">
        <v>78.59</v>
      </c>
    </row>
    <row r="28" spans="1:15" x14ac:dyDescent="0.25">
      <c r="B28" s="2" t="s">
        <v>1</v>
      </c>
    </row>
    <row r="29" spans="1:15" x14ac:dyDescent="0.25">
      <c r="B29" s="2" t="s">
        <v>947</v>
      </c>
    </row>
    <row r="30" spans="1:15" x14ac:dyDescent="0.25">
      <c r="B30" s="2" t="s">
        <v>1</v>
      </c>
    </row>
    <row r="31" spans="1:15" x14ac:dyDescent="0.25">
      <c r="A31" s="6" t="s">
        <v>4</v>
      </c>
      <c r="B31" s="6" t="s">
        <v>5</v>
      </c>
      <c r="C31" s="6" t="s">
        <v>6</v>
      </c>
      <c r="D31" s="6" t="s">
        <v>7</v>
      </c>
      <c r="E31" s="6" t="s">
        <v>8</v>
      </c>
      <c r="F31" s="6" t="s">
        <v>9</v>
      </c>
      <c r="G31" s="6" t="s">
        <v>10</v>
      </c>
      <c r="H31" s="6" t="s">
        <v>11</v>
      </c>
      <c r="I31" s="6" t="s">
        <v>12</v>
      </c>
      <c r="J31" s="6" t="s">
        <v>13</v>
      </c>
      <c r="K31" s="6" t="s">
        <v>14</v>
      </c>
      <c r="L31" s="6" t="s">
        <v>15</v>
      </c>
      <c r="M31" s="6" t="s">
        <v>16</v>
      </c>
      <c r="N31" s="6" t="s">
        <v>17</v>
      </c>
      <c r="O31" s="6" t="s">
        <v>18</v>
      </c>
    </row>
    <row r="32" spans="1:15" x14ac:dyDescent="0.25">
      <c r="A32" s="12" t="s">
        <v>386</v>
      </c>
      <c r="B32" s="12" t="s">
        <v>387</v>
      </c>
      <c r="C32" s="7">
        <v>45972</v>
      </c>
      <c r="D32" s="12" t="s">
        <v>82</v>
      </c>
      <c r="E32" s="12" t="s">
        <v>58</v>
      </c>
      <c r="F32" s="12" t="s">
        <v>360</v>
      </c>
      <c r="G32" s="12" t="s">
        <v>347</v>
      </c>
      <c r="H32" s="12" t="s">
        <v>326</v>
      </c>
      <c r="I32" s="12" t="s">
        <v>26</v>
      </c>
      <c r="J32" s="12" t="s">
        <v>987</v>
      </c>
      <c r="K32" s="12" t="s">
        <v>71</v>
      </c>
      <c r="L32" s="12" t="s">
        <v>63</v>
      </c>
      <c r="M32" s="13">
        <v>1</v>
      </c>
      <c r="N32" s="13">
        <v>6.95</v>
      </c>
      <c r="O32" s="13">
        <v>107.1</v>
      </c>
    </row>
    <row r="33" spans="1:15" x14ac:dyDescent="0.25">
      <c r="A33" s="10" t="s">
        <v>1</v>
      </c>
      <c r="B33" s="10" t="s">
        <v>954</v>
      </c>
      <c r="C33" s="10" t="s">
        <v>1</v>
      </c>
      <c r="D33" s="10" t="s">
        <v>1</v>
      </c>
      <c r="E33" s="10" t="s">
        <v>1</v>
      </c>
      <c r="F33" s="10" t="s">
        <v>1</v>
      </c>
      <c r="G33" s="10" t="s">
        <v>1</v>
      </c>
      <c r="H33" s="10" t="s">
        <v>1</v>
      </c>
      <c r="I33" s="10" t="s">
        <v>1</v>
      </c>
      <c r="J33" s="10" t="s">
        <v>1</v>
      </c>
      <c r="K33" s="10" t="s">
        <v>1</v>
      </c>
      <c r="L33" s="10" t="s">
        <v>1</v>
      </c>
      <c r="M33" s="11">
        <v>1</v>
      </c>
      <c r="N33" s="11">
        <v>6.95</v>
      </c>
      <c r="O33" s="11">
        <v>107.1</v>
      </c>
    </row>
    <row r="34" spans="1:15" x14ac:dyDescent="0.25">
      <c r="B34" s="2" t="s">
        <v>1</v>
      </c>
    </row>
    <row r="35" spans="1:15" x14ac:dyDescent="0.25">
      <c r="B35" s="2" t="s">
        <v>955</v>
      </c>
    </row>
    <row r="36" spans="1:15" x14ac:dyDescent="0.25">
      <c r="B36" s="2" t="s">
        <v>1</v>
      </c>
    </row>
    <row r="37" spans="1:15" x14ac:dyDescent="0.25">
      <c r="A37" s="6" t="s">
        <v>4</v>
      </c>
      <c r="B37" s="6" t="s">
        <v>5</v>
      </c>
      <c r="C37" s="6" t="s">
        <v>6</v>
      </c>
      <c r="D37" s="6" t="s">
        <v>7</v>
      </c>
      <c r="E37" s="6" t="s">
        <v>8</v>
      </c>
      <c r="F37" s="6" t="s">
        <v>9</v>
      </c>
      <c r="G37" s="6" t="s">
        <v>10</v>
      </c>
      <c r="H37" s="6" t="s">
        <v>11</v>
      </c>
      <c r="I37" s="6" t="s">
        <v>12</v>
      </c>
      <c r="J37" s="6" t="s">
        <v>13</v>
      </c>
      <c r="K37" s="6" t="s">
        <v>14</v>
      </c>
      <c r="L37" s="6" t="s">
        <v>15</v>
      </c>
      <c r="M37" s="6" t="s">
        <v>16</v>
      </c>
      <c r="N37" s="6" t="s">
        <v>17</v>
      </c>
      <c r="O37" s="6" t="s">
        <v>18</v>
      </c>
    </row>
    <row r="38" spans="1:15" x14ac:dyDescent="0.25">
      <c r="A38" s="12" t="s">
        <v>386</v>
      </c>
      <c r="B38" s="12" t="s">
        <v>400</v>
      </c>
      <c r="C38" s="7">
        <v>45972</v>
      </c>
      <c r="D38" s="12" t="s">
        <v>82</v>
      </c>
      <c r="E38" s="12" t="s">
        <v>58</v>
      </c>
      <c r="F38" s="12" t="s">
        <v>360</v>
      </c>
      <c r="G38" s="12" t="s">
        <v>347</v>
      </c>
      <c r="H38" s="12" t="s">
        <v>326</v>
      </c>
      <c r="I38" s="12" t="s">
        <v>26</v>
      </c>
      <c r="J38" s="12" t="s">
        <v>988</v>
      </c>
      <c r="K38" s="12" t="s">
        <v>390</v>
      </c>
      <c r="L38" s="12" t="s">
        <v>63</v>
      </c>
      <c r="M38" s="13">
        <v>1</v>
      </c>
      <c r="N38" s="13">
        <v>6.5</v>
      </c>
      <c r="O38" s="13">
        <v>100.16</v>
      </c>
    </row>
    <row r="39" spans="1:15" x14ac:dyDescent="0.25">
      <c r="A39" s="14" t="s">
        <v>386</v>
      </c>
      <c r="B39" s="14" t="s">
        <v>400</v>
      </c>
      <c r="C39" s="7">
        <v>45984</v>
      </c>
      <c r="D39" s="14" t="s">
        <v>21</v>
      </c>
      <c r="E39" s="14" t="s">
        <v>85</v>
      </c>
      <c r="F39" s="14" t="s">
        <v>360</v>
      </c>
      <c r="G39" s="14" t="s">
        <v>347</v>
      </c>
      <c r="H39" s="14" t="s">
        <v>326</v>
      </c>
      <c r="I39" s="14" t="s">
        <v>26</v>
      </c>
      <c r="J39" s="14" t="s">
        <v>989</v>
      </c>
      <c r="K39" s="14" t="s">
        <v>393</v>
      </c>
      <c r="L39" s="14" t="s">
        <v>68</v>
      </c>
      <c r="M39" s="15">
        <v>1</v>
      </c>
      <c r="N39" s="15">
        <v>5.7</v>
      </c>
      <c r="O39" s="15">
        <v>87.83</v>
      </c>
    </row>
    <row r="40" spans="1:15" x14ac:dyDescent="0.25">
      <c r="A40" s="14" t="s">
        <v>386</v>
      </c>
      <c r="B40" s="14" t="s">
        <v>400</v>
      </c>
      <c r="C40" s="7">
        <v>45991</v>
      </c>
      <c r="D40" s="14" t="s">
        <v>21</v>
      </c>
      <c r="E40" s="14" t="s">
        <v>85</v>
      </c>
      <c r="F40" s="14" t="s">
        <v>360</v>
      </c>
      <c r="G40" s="14" t="s">
        <v>347</v>
      </c>
      <c r="H40" s="14" t="s">
        <v>326</v>
      </c>
      <c r="I40" s="14" t="s">
        <v>26</v>
      </c>
      <c r="J40" s="14" t="s">
        <v>990</v>
      </c>
      <c r="K40" s="14" t="s">
        <v>393</v>
      </c>
      <c r="L40" s="14" t="s">
        <v>65</v>
      </c>
      <c r="M40" s="15">
        <v>1</v>
      </c>
      <c r="N40" s="15">
        <v>4.95</v>
      </c>
      <c r="O40" s="15">
        <v>76.28</v>
      </c>
    </row>
    <row r="41" spans="1:15" x14ac:dyDescent="0.25">
      <c r="A41" s="10" t="s">
        <v>1</v>
      </c>
      <c r="B41" s="10" t="s">
        <v>965</v>
      </c>
      <c r="C41" s="10" t="s">
        <v>1</v>
      </c>
      <c r="D41" s="10" t="s">
        <v>1</v>
      </c>
      <c r="E41" s="10" t="s">
        <v>1</v>
      </c>
      <c r="F41" s="10" t="s">
        <v>1</v>
      </c>
      <c r="G41" s="10" t="s">
        <v>1</v>
      </c>
      <c r="H41" s="10" t="s">
        <v>1</v>
      </c>
      <c r="I41" s="10" t="s">
        <v>1</v>
      </c>
      <c r="J41" s="10" t="s">
        <v>1</v>
      </c>
      <c r="K41" s="10" t="s">
        <v>1</v>
      </c>
      <c r="L41" s="10" t="s">
        <v>1</v>
      </c>
      <c r="M41" s="11">
        <v>3</v>
      </c>
      <c r="N41" s="11">
        <v>17.149999999999999</v>
      </c>
      <c r="O41" s="11">
        <v>264.27</v>
      </c>
    </row>
    <row r="42" spans="1:15" x14ac:dyDescent="0.25">
      <c r="B42" s="2" t="s">
        <v>1</v>
      </c>
    </row>
    <row r="43" spans="1:15" x14ac:dyDescent="0.25">
      <c r="B43" s="2" t="s">
        <v>966</v>
      </c>
    </row>
    <row r="44" spans="1:15" x14ac:dyDescent="0.25">
      <c r="B44" s="2" t="s">
        <v>1</v>
      </c>
    </row>
    <row r="45" spans="1:15" x14ac:dyDescent="0.25">
      <c r="A45" s="6" t="s">
        <v>4</v>
      </c>
      <c r="B45" s="6" t="s">
        <v>5</v>
      </c>
      <c r="C45" s="6" t="s">
        <v>6</v>
      </c>
      <c r="D45" s="6" t="s">
        <v>7</v>
      </c>
      <c r="E45" s="6" t="s">
        <v>8</v>
      </c>
      <c r="F45" s="6" t="s">
        <v>9</v>
      </c>
      <c r="G45" s="6" t="s">
        <v>10</v>
      </c>
      <c r="H45" s="6" t="s">
        <v>11</v>
      </c>
      <c r="I45" s="6" t="s">
        <v>12</v>
      </c>
      <c r="J45" s="6" t="s">
        <v>13</v>
      </c>
      <c r="K45" s="6" t="s">
        <v>14</v>
      </c>
      <c r="L45" s="6" t="s">
        <v>15</v>
      </c>
      <c r="M45" s="6" t="s">
        <v>16</v>
      </c>
      <c r="N45" s="6" t="s">
        <v>17</v>
      </c>
      <c r="O45" s="6" t="s">
        <v>18</v>
      </c>
    </row>
    <row r="46" spans="1:15" x14ac:dyDescent="0.25">
      <c r="A46" s="12" t="s">
        <v>386</v>
      </c>
      <c r="B46" s="12" t="s">
        <v>417</v>
      </c>
      <c r="C46" s="7">
        <v>45962</v>
      </c>
      <c r="D46" s="12" t="s">
        <v>82</v>
      </c>
      <c r="E46" s="12" t="s">
        <v>22</v>
      </c>
      <c r="F46" s="12" t="s">
        <v>360</v>
      </c>
      <c r="G46" s="12" t="s">
        <v>347</v>
      </c>
      <c r="H46" s="12" t="s">
        <v>326</v>
      </c>
      <c r="I46" s="12" t="s">
        <v>26</v>
      </c>
      <c r="J46" s="12" t="s">
        <v>991</v>
      </c>
      <c r="K46" s="12" t="s">
        <v>390</v>
      </c>
      <c r="L46" s="12" t="s">
        <v>63</v>
      </c>
      <c r="M46" s="13">
        <v>1</v>
      </c>
      <c r="N46" s="13">
        <v>6.05</v>
      </c>
      <c r="O46" s="13">
        <v>93.23</v>
      </c>
    </row>
    <row r="47" spans="1:15" x14ac:dyDescent="0.25">
      <c r="A47" s="14" t="s">
        <v>386</v>
      </c>
      <c r="B47" s="14" t="s">
        <v>417</v>
      </c>
      <c r="C47" s="7">
        <v>45970</v>
      </c>
      <c r="D47" s="14" t="s">
        <v>21</v>
      </c>
      <c r="E47" s="14" t="s">
        <v>85</v>
      </c>
      <c r="F47" s="14" t="s">
        <v>360</v>
      </c>
      <c r="G47" s="14" t="s">
        <v>347</v>
      </c>
      <c r="H47" s="14" t="s">
        <v>326</v>
      </c>
      <c r="I47" s="14" t="s">
        <v>26</v>
      </c>
      <c r="J47" s="14" t="s">
        <v>992</v>
      </c>
      <c r="K47" s="14" t="s">
        <v>393</v>
      </c>
      <c r="L47" s="14" t="s">
        <v>63</v>
      </c>
      <c r="M47" s="15">
        <v>1</v>
      </c>
      <c r="N47" s="15">
        <v>7</v>
      </c>
      <c r="O47" s="15">
        <v>107.87</v>
      </c>
    </row>
    <row r="48" spans="1:15" x14ac:dyDescent="0.25">
      <c r="A48" s="14" t="s">
        <v>386</v>
      </c>
      <c r="B48" s="14" t="s">
        <v>417</v>
      </c>
      <c r="C48" s="7">
        <v>45977</v>
      </c>
      <c r="D48" s="14" t="s">
        <v>21</v>
      </c>
      <c r="E48" s="14" t="s">
        <v>85</v>
      </c>
      <c r="F48" s="14" t="s">
        <v>360</v>
      </c>
      <c r="G48" s="14" t="s">
        <v>347</v>
      </c>
      <c r="H48" s="14" t="s">
        <v>326</v>
      </c>
      <c r="I48" s="14" t="s">
        <v>26</v>
      </c>
      <c r="J48" s="14" t="s">
        <v>993</v>
      </c>
      <c r="K48" s="14" t="s">
        <v>393</v>
      </c>
      <c r="L48" s="14" t="s">
        <v>109</v>
      </c>
      <c r="M48" s="15">
        <v>1</v>
      </c>
      <c r="N48" s="15">
        <v>7.5</v>
      </c>
      <c r="O48" s="15">
        <v>115.57</v>
      </c>
    </row>
    <row r="49" spans="1:15" x14ac:dyDescent="0.25">
      <c r="A49" s="10" t="s">
        <v>1</v>
      </c>
      <c r="B49" s="10" t="s">
        <v>971</v>
      </c>
      <c r="C49" s="10" t="s">
        <v>1</v>
      </c>
      <c r="D49" s="10" t="s">
        <v>1</v>
      </c>
      <c r="E49" s="10" t="s">
        <v>1</v>
      </c>
      <c r="F49" s="10" t="s">
        <v>1</v>
      </c>
      <c r="G49" s="10" t="s">
        <v>1</v>
      </c>
      <c r="H49" s="10" t="s">
        <v>1</v>
      </c>
      <c r="I49" s="10" t="s">
        <v>1</v>
      </c>
      <c r="J49" s="10" t="s">
        <v>1</v>
      </c>
      <c r="K49" s="10" t="s">
        <v>1</v>
      </c>
      <c r="L49" s="10" t="s">
        <v>1</v>
      </c>
      <c r="M49" s="11">
        <v>3</v>
      </c>
      <c r="N49" s="11">
        <v>20.55</v>
      </c>
      <c r="O49" s="11">
        <v>316.67</v>
      </c>
    </row>
    <row r="50" spans="1:15" x14ac:dyDescent="0.25">
      <c r="B50" s="2" t="s">
        <v>1</v>
      </c>
    </row>
    <row r="51" spans="1:15" x14ac:dyDescent="0.25">
      <c r="B51" s="2" t="s">
        <v>972</v>
      </c>
    </row>
    <row r="52" spans="1:15" x14ac:dyDescent="0.25">
      <c r="B52" s="2" t="s">
        <v>1</v>
      </c>
    </row>
    <row r="53" spans="1:15" x14ac:dyDescent="0.25">
      <c r="A53" s="6" t="s">
        <v>4</v>
      </c>
      <c r="B53" s="6" t="s">
        <v>5</v>
      </c>
      <c r="C53" s="6" t="s">
        <v>6</v>
      </c>
      <c r="D53" s="6" t="s">
        <v>7</v>
      </c>
      <c r="E53" s="6" t="s">
        <v>8</v>
      </c>
      <c r="F53" s="6" t="s">
        <v>9</v>
      </c>
      <c r="G53" s="6" t="s">
        <v>10</v>
      </c>
      <c r="H53" s="6" t="s">
        <v>11</v>
      </c>
      <c r="I53" s="6" t="s">
        <v>12</v>
      </c>
      <c r="J53" s="6" t="s">
        <v>13</v>
      </c>
      <c r="K53" s="6" t="s">
        <v>14</v>
      </c>
      <c r="L53" s="6" t="s">
        <v>15</v>
      </c>
      <c r="M53" s="6" t="s">
        <v>16</v>
      </c>
      <c r="N53" s="6" t="s">
        <v>17</v>
      </c>
      <c r="O53" s="6" t="s">
        <v>18</v>
      </c>
    </row>
    <row r="54" spans="1:15" x14ac:dyDescent="0.25">
      <c r="A54" s="12" t="s">
        <v>386</v>
      </c>
      <c r="B54" s="12" t="s">
        <v>713</v>
      </c>
      <c r="C54" s="7">
        <v>45962</v>
      </c>
      <c r="D54" s="12" t="s">
        <v>82</v>
      </c>
      <c r="E54" s="12" t="s">
        <v>22</v>
      </c>
      <c r="F54" s="12" t="s">
        <v>360</v>
      </c>
      <c r="G54" s="12" t="s">
        <v>347</v>
      </c>
      <c r="H54" s="12" t="s">
        <v>326</v>
      </c>
      <c r="I54" s="12" t="s">
        <v>26</v>
      </c>
      <c r="J54" s="12" t="s">
        <v>994</v>
      </c>
      <c r="K54" s="12" t="s">
        <v>452</v>
      </c>
      <c r="L54" s="12" t="s">
        <v>47</v>
      </c>
      <c r="M54" s="13">
        <v>1</v>
      </c>
      <c r="N54" s="13">
        <v>5.9</v>
      </c>
      <c r="O54" s="13">
        <v>90.92</v>
      </c>
    </row>
    <row r="55" spans="1:15" x14ac:dyDescent="0.25">
      <c r="A55" s="12" t="s">
        <v>386</v>
      </c>
      <c r="B55" s="12" t="s">
        <v>713</v>
      </c>
      <c r="C55" s="7">
        <v>45972</v>
      </c>
      <c r="D55" s="12" t="s">
        <v>82</v>
      </c>
      <c r="E55" s="12" t="s">
        <v>58</v>
      </c>
      <c r="F55" s="12" t="s">
        <v>360</v>
      </c>
      <c r="G55" s="12" t="s">
        <v>347</v>
      </c>
      <c r="H55" s="12" t="s">
        <v>326</v>
      </c>
      <c r="I55" s="12" t="s">
        <v>26</v>
      </c>
      <c r="J55" s="12" t="s">
        <v>995</v>
      </c>
      <c r="K55" s="12" t="s">
        <v>403</v>
      </c>
      <c r="L55" s="12" t="s">
        <v>404</v>
      </c>
      <c r="M55" s="13">
        <v>1</v>
      </c>
      <c r="N55" s="13">
        <v>5.6</v>
      </c>
      <c r="O55" s="13">
        <v>86.29</v>
      </c>
    </row>
    <row r="56" spans="1:15" x14ac:dyDescent="0.25">
      <c r="A56" s="10" t="s">
        <v>1</v>
      </c>
      <c r="B56" s="10" t="s">
        <v>981</v>
      </c>
      <c r="C56" s="10" t="s">
        <v>1</v>
      </c>
      <c r="D56" s="10" t="s">
        <v>1</v>
      </c>
      <c r="E56" s="10" t="s">
        <v>1</v>
      </c>
      <c r="F56" s="10" t="s">
        <v>1</v>
      </c>
      <c r="G56" s="10" t="s">
        <v>1</v>
      </c>
      <c r="H56" s="10" t="s">
        <v>1</v>
      </c>
      <c r="I56" s="10" t="s">
        <v>1</v>
      </c>
      <c r="J56" s="10" t="s">
        <v>1</v>
      </c>
      <c r="K56" s="10" t="s">
        <v>1</v>
      </c>
      <c r="L56" s="10" t="s">
        <v>1</v>
      </c>
      <c r="M56" s="11">
        <v>2</v>
      </c>
      <c r="N56" s="11">
        <v>11.5</v>
      </c>
      <c r="O56" s="11">
        <v>177.21</v>
      </c>
    </row>
    <row r="57" spans="1:15" x14ac:dyDescent="0.25">
      <c r="A57" s="5" t="s">
        <v>1</v>
      </c>
      <c r="B57" s="5" t="s">
        <v>363</v>
      </c>
      <c r="C57" s="5" t="s">
        <v>1</v>
      </c>
      <c r="D57" s="5" t="s">
        <v>1</v>
      </c>
      <c r="E57" s="5" t="s">
        <v>1</v>
      </c>
      <c r="F57" s="5" t="s">
        <v>1</v>
      </c>
      <c r="G57" s="5" t="s">
        <v>1</v>
      </c>
      <c r="H57" s="5" t="s">
        <v>1</v>
      </c>
      <c r="I57" s="5" t="s">
        <v>1</v>
      </c>
      <c r="J57" s="5" t="s">
        <v>1</v>
      </c>
      <c r="K57" s="5" t="s">
        <v>1</v>
      </c>
      <c r="L57" s="5" t="s">
        <v>1</v>
      </c>
      <c r="M57" s="8">
        <v>10</v>
      </c>
      <c r="N57" s="9">
        <v>61.25</v>
      </c>
      <c r="O57" s="8">
        <v>943.84</v>
      </c>
    </row>
    <row r="58" spans="1:15" x14ac:dyDescent="0.25">
      <c r="A58" s="10" t="s">
        <v>1</v>
      </c>
      <c r="B58" s="10" t="s">
        <v>996</v>
      </c>
      <c r="C58" s="10" t="s">
        <v>1</v>
      </c>
      <c r="D58" s="10" t="s">
        <v>1</v>
      </c>
      <c r="E58" s="10" t="s">
        <v>1</v>
      </c>
      <c r="F58" s="10" t="s">
        <v>1</v>
      </c>
      <c r="G58" s="10" t="s">
        <v>1</v>
      </c>
      <c r="H58" s="10" t="s">
        <v>1</v>
      </c>
      <c r="I58" s="10" t="s">
        <v>1</v>
      </c>
      <c r="J58" s="10" t="s">
        <v>1</v>
      </c>
      <c r="K58" s="10" t="s">
        <v>1</v>
      </c>
      <c r="L58" s="10" t="s">
        <v>1</v>
      </c>
      <c r="M58" s="11">
        <v>12</v>
      </c>
      <c r="N58" s="11">
        <v>75.25</v>
      </c>
      <c r="O58" s="11">
        <v>1159.57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O49"/>
  <sheetViews>
    <sheetView topLeftCell="A37" workbookViewId="0">
      <selection activeCell="P33" sqref="P33"/>
    </sheetView>
  </sheetViews>
  <sheetFormatPr baseColWidth="10" defaultColWidth="9.140625" defaultRowHeight="15" x14ac:dyDescent="0.25"/>
  <cols>
    <col min="1" max="1" width="25.7109375" bestFit="1" customWidth="1"/>
    <col min="2" max="2" width="65" bestFit="1" customWidth="1"/>
    <col min="3" max="3" width="9.28515625" bestFit="1" customWidth="1"/>
    <col min="4" max="4" width="6" bestFit="1" customWidth="1"/>
    <col min="5" max="5" width="7.5703125" bestFit="1" customWidth="1"/>
    <col min="6" max="6" width="13.28515625" bestFit="1" customWidth="1"/>
    <col min="7" max="7" width="9.42578125" bestFit="1" customWidth="1"/>
    <col min="8" max="8" width="25" bestFit="1" customWidth="1"/>
    <col min="9" max="9" width="12.5703125" bestFit="1" customWidth="1"/>
    <col min="10" max="10" width="14.5703125" bestFit="1" customWidth="1"/>
    <col min="11" max="11" width="10.42578125" bestFit="1" customWidth="1"/>
    <col min="12" max="12" width="8.710937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997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998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3" t="s">
        <v>386</v>
      </c>
      <c r="B13" s="3" t="s">
        <v>444</v>
      </c>
      <c r="C13" s="4">
        <v>45981</v>
      </c>
      <c r="D13" s="3" t="s">
        <v>21</v>
      </c>
      <c r="E13" s="3" t="s">
        <v>30</v>
      </c>
      <c r="F13" s="3" t="s">
        <v>367</v>
      </c>
      <c r="G13" s="3" t="s">
        <v>98</v>
      </c>
      <c r="H13" s="3" t="s">
        <v>368</v>
      </c>
      <c r="I13" s="3" t="s">
        <v>999</v>
      </c>
      <c r="J13" s="3" t="s">
        <v>1000</v>
      </c>
      <c r="K13" s="3" t="s">
        <v>403</v>
      </c>
      <c r="L13" s="3" t="s">
        <v>404</v>
      </c>
      <c r="M13" s="8">
        <v>1</v>
      </c>
      <c r="N13" s="9">
        <v>3.42</v>
      </c>
      <c r="O13" s="8">
        <v>50.99</v>
      </c>
    </row>
    <row r="14" spans="1:15" x14ac:dyDescent="0.25">
      <c r="A14" s="10" t="s">
        <v>1</v>
      </c>
      <c r="B14" s="10" t="s">
        <v>1001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3.42</v>
      </c>
      <c r="O14" s="11">
        <v>50.99</v>
      </c>
    </row>
    <row r="15" spans="1:15" x14ac:dyDescent="0.25">
      <c r="B15" s="2" t="s">
        <v>1</v>
      </c>
    </row>
    <row r="16" spans="1:15" x14ac:dyDescent="0.25">
      <c r="B16" s="2" t="s">
        <v>1002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3" t="s">
        <v>386</v>
      </c>
      <c r="B19" s="3" t="s">
        <v>387</v>
      </c>
      <c r="C19" s="4">
        <v>45966</v>
      </c>
      <c r="D19" s="3" t="s">
        <v>21</v>
      </c>
      <c r="E19" s="3" t="s">
        <v>35</v>
      </c>
      <c r="F19" s="3" t="s">
        <v>367</v>
      </c>
      <c r="G19" s="3" t="s">
        <v>98</v>
      </c>
      <c r="H19" s="3" t="s">
        <v>368</v>
      </c>
      <c r="I19" s="3" t="s">
        <v>1003</v>
      </c>
      <c r="J19" s="3" t="s">
        <v>1004</v>
      </c>
      <c r="K19" s="3" t="s">
        <v>33</v>
      </c>
      <c r="L19" s="3" t="s">
        <v>47</v>
      </c>
      <c r="M19" s="8">
        <v>1</v>
      </c>
      <c r="N19" s="9">
        <v>2.12</v>
      </c>
      <c r="O19" s="8">
        <v>31.61</v>
      </c>
    </row>
    <row r="20" spans="1:15" x14ac:dyDescent="0.25">
      <c r="A20" s="3" t="s">
        <v>386</v>
      </c>
      <c r="B20" s="3" t="s">
        <v>387</v>
      </c>
      <c r="C20" s="4">
        <v>45989</v>
      </c>
      <c r="D20" s="3" t="s">
        <v>21</v>
      </c>
      <c r="E20" s="3" t="s">
        <v>44</v>
      </c>
      <c r="F20" s="3" t="s">
        <v>367</v>
      </c>
      <c r="G20" s="3" t="s">
        <v>98</v>
      </c>
      <c r="H20" s="3" t="s">
        <v>368</v>
      </c>
      <c r="I20" s="3" t="s">
        <v>1005</v>
      </c>
      <c r="J20" s="3" t="s">
        <v>1006</v>
      </c>
      <c r="K20" s="3" t="s">
        <v>187</v>
      </c>
      <c r="L20" s="3" t="s">
        <v>109</v>
      </c>
      <c r="M20" s="8">
        <v>1</v>
      </c>
      <c r="N20" s="9">
        <v>3.3</v>
      </c>
      <c r="O20" s="8">
        <v>49.2</v>
      </c>
    </row>
    <row r="21" spans="1:15" x14ac:dyDescent="0.25">
      <c r="A21" s="10" t="s">
        <v>1</v>
      </c>
      <c r="B21" s="10" t="s">
        <v>1007</v>
      </c>
      <c r="C21" s="10" t="s">
        <v>1</v>
      </c>
      <c r="D21" s="10" t="s">
        <v>1</v>
      </c>
      <c r="E21" s="10" t="s">
        <v>1</v>
      </c>
      <c r="F21" s="10" t="s">
        <v>1</v>
      </c>
      <c r="G21" s="10" t="s">
        <v>1</v>
      </c>
      <c r="H21" s="10" t="s">
        <v>1</v>
      </c>
      <c r="I21" s="10" t="s">
        <v>1</v>
      </c>
      <c r="J21" s="10" t="s">
        <v>1</v>
      </c>
      <c r="K21" s="10" t="s">
        <v>1</v>
      </c>
      <c r="L21" s="10" t="s">
        <v>1</v>
      </c>
      <c r="M21" s="11">
        <v>2</v>
      </c>
      <c r="N21" s="11">
        <v>5.42</v>
      </c>
      <c r="O21" s="11">
        <v>80.81</v>
      </c>
    </row>
    <row r="22" spans="1:15" x14ac:dyDescent="0.25">
      <c r="B22" s="2" t="s">
        <v>1</v>
      </c>
    </row>
    <row r="23" spans="1:15" x14ac:dyDescent="0.25">
      <c r="B23" s="2" t="s">
        <v>1008</v>
      </c>
    </row>
    <row r="24" spans="1:15" x14ac:dyDescent="0.25">
      <c r="B24" s="2" t="s">
        <v>1</v>
      </c>
    </row>
    <row r="25" spans="1:15" x14ac:dyDescent="0.25">
      <c r="A25" s="6" t="s">
        <v>4</v>
      </c>
      <c r="B25" s="6" t="s">
        <v>5</v>
      </c>
      <c r="C25" s="6" t="s">
        <v>6</v>
      </c>
      <c r="D25" s="6" t="s">
        <v>7</v>
      </c>
      <c r="E25" s="6" t="s">
        <v>8</v>
      </c>
      <c r="F25" s="6" t="s">
        <v>9</v>
      </c>
      <c r="G25" s="6" t="s">
        <v>10</v>
      </c>
      <c r="H25" s="6" t="s">
        <v>11</v>
      </c>
      <c r="I25" s="6" t="s">
        <v>12</v>
      </c>
      <c r="J25" s="6" t="s">
        <v>13</v>
      </c>
      <c r="K25" s="6" t="s">
        <v>14</v>
      </c>
      <c r="L25" s="6" t="s">
        <v>15</v>
      </c>
      <c r="M25" s="6" t="s">
        <v>16</v>
      </c>
      <c r="N25" s="6" t="s">
        <v>17</v>
      </c>
      <c r="O25" s="6" t="s">
        <v>18</v>
      </c>
    </row>
    <row r="26" spans="1:15" x14ac:dyDescent="0.25">
      <c r="A26" s="3" t="s">
        <v>386</v>
      </c>
      <c r="B26" s="3" t="s">
        <v>400</v>
      </c>
      <c r="C26" s="4">
        <v>45981</v>
      </c>
      <c r="D26" s="3" t="s">
        <v>21</v>
      </c>
      <c r="E26" s="3" t="s">
        <v>30</v>
      </c>
      <c r="F26" s="3" t="s">
        <v>367</v>
      </c>
      <c r="G26" s="3" t="s">
        <v>98</v>
      </c>
      <c r="H26" s="3" t="s">
        <v>368</v>
      </c>
      <c r="I26" s="3" t="s">
        <v>1009</v>
      </c>
      <c r="J26" s="3" t="s">
        <v>1010</v>
      </c>
      <c r="K26" s="3" t="s">
        <v>393</v>
      </c>
      <c r="L26" s="3" t="s">
        <v>68</v>
      </c>
      <c r="M26" s="8">
        <v>1</v>
      </c>
      <c r="N26" s="9">
        <v>3.46</v>
      </c>
      <c r="O26" s="8">
        <v>51.59</v>
      </c>
    </row>
    <row r="27" spans="1:15" x14ac:dyDescent="0.25">
      <c r="A27" s="10" t="s">
        <v>1</v>
      </c>
      <c r="B27" s="10" t="s">
        <v>1011</v>
      </c>
      <c r="C27" s="10" t="s">
        <v>1</v>
      </c>
      <c r="D27" s="10" t="s">
        <v>1</v>
      </c>
      <c r="E27" s="10" t="s">
        <v>1</v>
      </c>
      <c r="F27" s="10" t="s">
        <v>1</v>
      </c>
      <c r="G27" s="10" t="s">
        <v>1</v>
      </c>
      <c r="H27" s="10" t="s">
        <v>1</v>
      </c>
      <c r="I27" s="10" t="s">
        <v>1</v>
      </c>
      <c r="J27" s="10" t="s">
        <v>1</v>
      </c>
      <c r="K27" s="10" t="s">
        <v>1</v>
      </c>
      <c r="L27" s="10" t="s">
        <v>1</v>
      </c>
      <c r="M27" s="11">
        <v>1</v>
      </c>
      <c r="N27" s="11">
        <v>3.46</v>
      </c>
      <c r="O27" s="11">
        <v>51.59</v>
      </c>
    </row>
    <row r="28" spans="1:15" x14ac:dyDescent="0.25">
      <c r="B28" s="2" t="s">
        <v>1</v>
      </c>
    </row>
    <row r="29" spans="1:15" x14ac:dyDescent="0.25">
      <c r="B29" s="2" t="s">
        <v>1012</v>
      </c>
    </row>
    <row r="30" spans="1:15" x14ac:dyDescent="0.25">
      <c r="B30" s="2" t="s">
        <v>1</v>
      </c>
    </row>
    <row r="31" spans="1:15" x14ac:dyDescent="0.25">
      <c r="A31" s="6" t="s">
        <v>4</v>
      </c>
      <c r="B31" s="6" t="s">
        <v>5</v>
      </c>
      <c r="C31" s="6" t="s">
        <v>6</v>
      </c>
      <c r="D31" s="6" t="s">
        <v>7</v>
      </c>
      <c r="E31" s="6" t="s">
        <v>8</v>
      </c>
      <c r="F31" s="6" t="s">
        <v>9</v>
      </c>
      <c r="G31" s="6" t="s">
        <v>10</v>
      </c>
      <c r="H31" s="6" t="s">
        <v>11</v>
      </c>
      <c r="I31" s="6" t="s">
        <v>12</v>
      </c>
      <c r="J31" s="6" t="s">
        <v>13</v>
      </c>
      <c r="K31" s="6" t="s">
        <v>14</v>
      </c>
      <c r="L31" s="6" t="s">
        <v>15</v>
      </c>
      <c r="M31" s="6" t="s">
        <v>16</v>
      </c>
      <c r="N31" s="6" t="s">
        <v>17</v>
      </c>
      <c r="O31" s="6" t="s">
        <v>18</v>
      </c>
    </row>
    <row r="32" spans="1:15" x14ac:dyDescent="0.25">
      <c r="A32" s="3" t="s">
        <v>386</v>
      </c>
      <c r="B32" s="3" t="s">
        <v>417</v>
      </c>
      <c r="C32" s="4">
        <v>45980</v>
      </c>
      <c r="D32" s="3" t="s">
        <v>21</v>
      </c>
      <c r="E32" s="3" t="s">
        <v>35</v>
      </c>
      <c r="F32" s="3" t="s">
        <v>367</v>
      </c>
      <c r="G32" s="3" t="s">
        <v>98</v>
      </c>
      <c r="H32" s="3" t="s">
        <v>368</v>
      </c>
      <c r="I32" s="3" t="s">
        <v>1013</v>
      </c>
      <c r="J32" s="3" t="s">
        <v>1014</v>
      </c>
      <c r="K32" s="3" t="s">
        <v>403</v>
      </c>
      <c r="L32" s="3" t="s">
        <v>404</v>
      </c>
      <c r="M32" s="8">
        <v>1</v>
      </c>
      <c r="N32" s="9">
        <v>2.2400000000000002</v>
      </c>
      <c r="O32" s="8">
        <v>33.4</v>
      </c>
    </row>
    <row r="33" spans="1:15" x14ac:dyDescent="0.25">
      <c r="A33" s="10" t="s">
        <v>1</v>
      </c>
      <c r="B33" s="10" t="s">
        <v>1015</v>
      </c>
      <c r="C33" s="10" t="s">
        <v>1</v>
      </c>
      <c r="D33" s="10" t="s">
        <v>1</v>
      </c>
      <c r="E33" s="10" t="s">
        <v>1</v>
      </c>
      <c r="F33" s="10" t="s">
        <v>1</v>
      </c>
      <c r="G33" s="10" t="s">
        <v>1</v>
      </c>
      <c r="H33" s="10" t="s">
        <v>1</v>
      </c>
      <c r="I33" s="10" t="s">
        <v>1</v>
      </c>
      <c r="J33" s="10" t="s">
        <v>1</v>
      </c>
      <c r="K33" s="10" t="s">
        <v>1</v>
      </c>
      <c r="L33" s="10" t="s">
        <v>1</v>
      </c>
      <c r="M33" s="11">
        <v>1</v>
      </c>
      <c r="N33" s="11">
        <v>2.2400000000000002</v>
      </c>
      <c r="O33" s="11">
        <v>33.4</v>
      </c>
    </row>
    <row r="34" spans="1:15" x14ac:dyDescent="0.25">
      <c r="B34" s="2" t="s">
        <v>1</v>
      </c>
    </row>
    <row r="35" spans="1:15" x14ac:dyDescent="0.25">
      <c r="B35" s="2" t="s">
        <v>1016</v>
      </c>
    </row>
    <row r="36" spans="1:15" x14ac:dyDescent="0.25">
      <c r="B36" s="2" t="s">
        <v>1</v>
      </c>
    </row>
    <row r="37" spans="1:15" x14ac:dyDescent="0.25">
      <c r="A37" s="6" t="s">
        <v>4</v>
      </c>
      <c r="B37" s="6" t="s">
        <v>5</v>
      </c>
      <c r="C37" s="6" t="s">
        <v>6</v>
      </c>
      <c r="D37" s="6" t="s">
        <v>7</v>
      </c>
      <c r="E37" s="6" t="s">
        <v>8</v>
      </c>
      <c r="F37" s="6" t="s">
        <v>9</v>
      </c>
      <c r="G37" s="6" t="s">
        <v>10</v>
      </c>
      <c r="H37" s="6" t="s">
        <v>11</v>
      </c>
      <c r="I37" s="6" t="s">
        <v>12</v>
      </c>
      <c r="J37" s="6" t="s">
        <v>13</v>
      </c>
      <c r="K37" s="6" t="s">
        <v>14</v>
      </c>
      <c r="L37" s="6" t="s">
        <v>15</v>
      </c>
      <c r="M37" s="6" t="s">
        <v>16</v>
      </c>
      <c r="N37" s="6" t="s">
        <v>17</v>
      </c>
      <c r="O37" s="6" t="s">
        <v>18</v>
      </c>
    </row>
    <row r="38" spans="1:15" x14ac:dyDescent="0.25">
      <c r="A38" s="3" t="s">
        <v>386</v>
      </c>
      <c r="B38" s="3" t="s">
        <v>713</v>
      </c>
      <c r="C38" s="4">
        <v>45979</v>
      </c>
      <c r="D38" s="3" t="s">
        <v>21</v>
      </c>
      <c r="E38" s="3" t="s">
        <v>58</v>
      </c>
      <c r="F38" s="3" t="s">
        <v>367</v>
      </c>
      <c r="G38" s="3" t="s">
        <v>98</v>
      </c>
      <c r="H38" s="3" t="s">
        <v>368</v>
      </c>
      <c r="I38" s="3" t="s">
        <v>1017</v>
      </c>
      <c r="J38" s="3" t="s">
        <v>1018</v>
      </c>
      <c r="K38" s="3" t="s">
        <v>403</v>
      </c>
      <c r="L38" s="3" t="s">
        <v>404</v>
      </c>
      <c r="M38" s="8">
        <v>1</v>
      </c>
      <c r="N38" s="9">
        <v>2.54</v>
      </c>
      <c r="O38" s="8">
        <v>37.869999999999997</v>
      </c>
    </row>
    <row r="39" spans="1:15" x14ac:dyDescent="0.25">
      <c r="A39" s="3" t="s">
        <v>386</v>
      </c>
      <c r="B39" s="3" t="s">
        <v>713</v>
      </c>
      <c r="C39" s="4">
        <v>45987</v>
      </c>
      <c r="D39" s="3" t="s">
        <v>21</v>
      </c>
      <c r="E39" s="3" t="s">
        <v>35</v>
      </c>
      <c r="F39" s="3" t="s">
        <v>367</v>
      </c>
      <c r="G39" s="3" t="s">
        <v>98</v>
      </c>
      <c r="H39" s="3" t="s">
        <v>368</v>
      </c>
      <c r="I39" s="3" t="s">
        <v>1019</v>
      </c>
      <c r="J39" s="3" t="s">
        <v>1020</v>
      </c>
      <c r="K39" s="3" t="s">
        <v>403</v>
      </c>
      <c r="L39" s="3" t="s">
        <v>404</v>
      </c>
      <c r="M39" s="8">
        <v>1</v>
      </c>
      <c r="N39" s="9">
        <v>3.1</v>
      </c>
      <c r="O39" s="8">
        <v>46.22</v>
      </c>
    </row>
    <row r="40" spans="1:15" x14ac:dyDescent="0.25">
      <c r="A40" s="10" t="s">
        <v>1</v>
      </c>
      <c r="B40" s="10" t="s">
        <v>1021</v>
      </c>
      <c r="C40" s="10" t="s">
        <v>1</v>
      </c>
      <c r="D40" s="10" t="s">
        <v>1</v>
      </c>
      <c r="E40" s="10" t="s">
        <v>1</v>
      </c>
      <c r="F40" s="10" t="s">
        <v>1</v>
      </c>
      <c r="G40" s="10" t="s">
        <v>1</v>
      </c>
      <c r="H40" s="10" t="s">
        <v>1</v>
      </c>
      <c r="I40" s="10" t="s">
        <v>1</v>
      </c>
      <c r="J40" s="10" t="s">
        <v>1</v>
      </c>
      <c r="K40" s="10" t="s">
        <v>1</v>
      </c>
      <c r="L40" s="10" t="s">
        <v>1</v>
      </c>
      <c r="M40" s="11">
        <v>2</v>
      </c>
      <c r="N40" s="11">
        <v>5.64</v>
      </c>
      <c r="O40" s="11">
        <v>84.09</v>
      </c>
    </row>
    <row r="41" spans="1:15" x14ac:dyDescent="0.25">
      <c r="B41" s="2" t="s">
        <v>1</v>
      </c>
    </row>
    <row r="42" spans="1:15" x14ac:dyDescent="0.25">
      <c r="B42" s="2" t="s">
        <v>1022</v>
      </c>
    </row>
    <row r="43" spans="1:15" x14ac:dyDescent="0.25">
      <c r="B43" s="2" t="s">
        <v>1</v>
      </c>
    </row>
    <row r="44" spans="1:15" x14ac:dyDescent="0.25">
      <c r="A44" s="6" t="s">
        <v>4</v>
      </c>
      <c r="B44" s="6" t="s">
        <v>5</v>
      </c>
      <c r="C44" s="6" t="s">
        <v>6</v>
      </c>
      <c r="D44" s="6" t="s">
        <v>7</v>
      </c>
      <c r="E44" s="6" t="s">
        <v>8</v>
      </c>
      <c r="F44" s="6" t="s">
        <v>9</v>
      </c>
      <c r="G44" s="6" t="s">
        <v>10</v>
      </c>
      <c r="H44" s="6" t="s">
        <v>11</v>
      </c>
      <c r="I44" s="6" t="s">
        <v>12</v>
      </c>
      <c r="J44" s="6" t="s">
        <v>13</v>
      </c>
      <c r="K44" s="6" t="s">
        <v>14</v>
      </c>
      <c r="L44" s="6" t="s">
        <v>15</v>
      </c>
      <c r="M44" s="6" t="s">
        <v>16</v>
      </c>
      <c r="N44" s="6" t="s">
        <v>17</v>
      </c>
      <c r="O44" s="6" t="s">
        <v>18</v>
      </c>
    </row>
    <row r="45" spans="1:15" x14ac:dyDescent="0.25">
      <c r="A45" s="3" t="s">
        <v>386</v>
      </c>
      <c r="B45" s="3" t="s">
        <v>434</v>
      </c>
      <c r="C45" s="4">
        <v>45968</v>
      </c>
      <c r="D45" s="3" t="s">
        <v>21</v>
      </c>
      <c r="E45" s="3" t="s">
        <v>44</v>
      </c>
      <c r="F45" s="3" t="s">
        <v>367</v>
      </c>
      <c r="G45" s="3" t="s">
        <v>98</v>
      </c>
      <c r="H45" s="3" t="s">
        <v>368</v>
      </c>
      <c r="I45" s="3" t="s">
        <v>1023</v>
      </c>
      <c r="J45" s="3" t="s">
        <v>1024</v>
      </c>
      <c r="K45" s="3" t="s">
        <v>403</v>
      </c>
      <c r="L45" s="3" t="s">
        <v>404</v>
      </c>
      <c r="M45" s="8">
        <v>1</v>
      </c>
      <c r="N45" s="9">
        <v>3.18</v>
      </c>
      <c r="O45" s="8">
        <v>47.41</v>
      </c>
    </row>
    <row r="46" spans="1:15" x14ac:dyDescent="0.25">
      <c r="A46" s="3" t="s">
        <v>386</v>
      </c>
      <c r="B46" s="3" t="s">
        <v>434</v>
      </c>
      <c r="C46" s="4">
        <v>45980</v>
      </c>
      <c r="D46" s="3" t="s">
        <v>21</v>
      </c>
      <c r="E46" s="3" t="s">
        <v>35</v>
      </c>
      <c r="F46" s="3" t="s">
        <v>367</v>
      </c>
      <c r="G46" s="3" t="s">
        <v>98</v>
      </c>
      <c r="H46" s="3" t="s">
        <v>368</v>
      </c>
      <c r="I46" s="3" t="s">
        <v>1025</v>
      </c>
      <c r="J46" s="3" t="s">
        <v>1026</v>
      </c>
      <c r="K46" s="3" t="s">
        <v>403</v>
      </c>
      <c r="L46" s="3" t="s">
        <v>404</v>
      </c>
      <c r="M46" s="8">
        <v>1</v>
      </c>
      <c r="N46" s="9">
        <v>2.56</v>
      </c>
      <c r="O46" s="8">
        <v>38.17</v>
      </c>
    </row>
    <row r="47" spans="1:15" x14ac:dyDescent="0.25">
      <c r="A47" s="10" t="s">
        <v>1</v>
      </c>
      <c r="B47" s="10" t="s">
        <v>1027</v>
      </c>
      <c r="C47" s="10" t="s">
        <v>1</v>
      </c>
      <c r="D47" s="10" t="s">
        <v>1</v>
      </c>
      <c r="E47" s="10" t="s">
        <v>1</v>
      </c>
      <c r="F47" s="10" t="s">
        <v>1</v>
      </c>
      <c r="G47" s="10" t="s">
        <v>1</v>
      </c>
      <c r="H47" s="10" t="s">
        <v>1</v>
      </c>
      <c r="I47" s="10" t="s">
        <v>1</v>
      </c>
      <c r="J47" s="10" t="s">
        <v>1</v>
      </c>
      <c r="K47" s="10" t="s">
        <v>1</v>
      </c>
      <c r="L47" s="10" t="s">
        <v>1</v>
      </c>
      <c r="M47" s="11">
        <v>2</v>
      </c>
      <c r="N47" s="11">
        <v>5.74</v>
      </c>
      <c r="O47" s="11">
        <v>85.58</v>
      </c>
    </row>
    <row r="48" spans="1:15" x14ac:dyDescent="0.25">
      <c r="A48" s="5" t="s">
        <v>1</v>
      </c>
      <c r="B48" s="5" t="s">
        <v>382</v>
      </c>
      <c r="C48" s="5" t="s">
        <v>1</v>
      </c>
      <c r="D48" s="5" t="s">
        <v>1</v>
      </c>
      <c r="E48" s="5" t="s">
        <v>1</v>
      </c>
      <c r="F48" s="5" t="s">
        <v>1</v>
      </c>
      <c r="G48" s="5" t="s">
        <v>1</v>
      </c>
      <c r="H48" s="5" t="s">
        <v>1</v>
      </c>
      <c r="I48" s="5" t="s">
        <v>1</v>
      </c>
      <c r="J48" s="5" t="s">
        <v>1</v>
      </c>
      <c r="K48" s="5" t="s">
        <v>1</v>
      </c>
      <c r="L48" s="5" t="s">
        <v>1</v>
      </c>
      <c r="M48" s="8">
        <v>9</v>
      </c>
      <c r="N48" s="9">
        <v>25.92</v>
      </c>
      <c r="O48" s="8">
        <v>386.47</v>
      </c>
    </row>
    <row r="49" spans="1:15" x14ac:dyDescent="0.25">
      <c r="A49" s="10" t="s">
        <v>1</v>
      </c>
      <c r="B49" s="10" t="s">
        <v>1028</v>
      </c>
      <c r="C49" s="10" t="s">
        <v>1</v>
      </c>
      <c r="D49" s="10" t="s">
        <v>1</v>
      </c>
      <c r="E49" s="10" t="s">
        <v>1</v>
      </c>
      <c r="F49" s="10" t="s">
        <v>1</v>
      </c>
      <c r="G49" s="10" t="s">
        <v>1</v>
      </c>
      <c r="H49" s="10" t="s">
        <v>1</v>
      </c>
      <c r="I49" s="10" t="s">
        <v>1</v>
      </c>
      <c r="J49" s="10" t="s">
        <v>1</v>
      </c>
      <c r="K49" s="10" t="s">
        <v>1</v>
      </c>
      <c r="L49" s="10" t="s">
        <v>1</v>
      </c>
      <c r="M49" s="11">
        <v>9</v>
      </c>
      <c r="N49" s="11">
        <v>25.92</v>
      </c>
      <c r="O49" s="11">
        <v>386.47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O23"/>
  <sheetViews>
    <sheetView topLeftCell="B1" workbookViewId="0">
      <selection activeCell="J33" sqref="J33"/>
    </sheetView>
  </sheetViews>
  <sheetFormatPr baseColWidth="10" defaultColWidth="9.140625" defaultRowHeight="15" x14ac:dyDescent="0.25"/>
  <cols>
    <col min="1" max="1" width="25.7109375" bestFit="1" customWidth="1"/>
    <col min="2" max="2" width="73.5703125" bestFit="1" customWidth="1"/>
    <col min="3" max="3" width="9.28515625" bestFit="1" customWidth="1"/>
    <col min="4" max="4" width="6" bestFit="1" customWidth="1"/>
    <col min="5" max="5" width="8.140625" bestFit="1" customWidth="1"/>
    <col min="6" max="6" width="32.5703125" bestFit="1" customWidth="1"/>
    <col min="7" max="7" width="9.42578125" bestFit="1" customWidth="1"/>
    <col min="8" max="8" width="25" bestFit="1" customWidth="1"/>
    <col min="9" max="9" width="12.5703125" bestFit="1" customWidth="1"/>
    <col min="10" max="10" width="14.5703125" bestFit="1" customWidth="1"/>
    <col min="11" max="11" width="9.85546875" bestFit="1" customWidth="1"/>
    <col min="12" max="12" width="8.28515625" bestFit="1" customWidth="1"/>
    <col min="13" max="13" width="14.7109375" bestFit="1" customWidth="1"/>
    <col min="14" max="14" width="9.140625" bestFit="1" customWidth="1"/>
  </cols>
  <sheetData>
    <row r="2" spans="1:15" x14ac:dyDescent="0.25">
      <c r="B2" s="1" t="s">
        <v>0</v>
      </c>
    </row>
    <row r="3" spans="1:15" x14ac:dyDescent="0.25">
      <c r="A3" s="1" t="s">
        <v>1</v>
      </c>
    </row>
    <row r="4" spans="1:15" x14ac:dyDescent="0.25">
      <c r="B4" s="2" t="s">
        <v>1</v>
      </c>
    </row>
    <row r="5" spans="1:15" x14ac:dyDescent="0.25">
      <c r="B5" s="2" t="s">
        <v>1029</v>
      </c>
    </row>
    <row r="6" spans="1:15" x14ac:dyDescent="0.25">
      <c r="B6" s="2" t="s">
        <v>1</v>
      </c>
    </row>
    <row r="9" spans="1:15" x14ac:dyDescent="0.25">
      <c r="B9" s="2" t="s">
        <v>1</v>
      </c>
    </row>
    <row r="10" spans="1:15" x14ac:dyDescent="0.25">
      <c r="B10" s="2" t="s">
        <v>1008</v>
      </c>
    </row>
    <row r="11" spans="1:15" x14ac:dyDescent="0.25">
      <c r="B11" s="2" t="s">
        <v>1</v>
      </c>
    </row>
    <row r="12" spans="1:15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</row>
    <row r="13" spans="1:15" x14ac:dyDescent="0.25">
      <c r="A13" s="14" t="s">
        <v>386</v>
      </c>
      <c r="B13" s="14" t="s">
        <v>400</v>
      </c>
      <c r="C13" s="7">
        <v>45963</v>
      </c>
      <c r="D13" s="14" t="s">
        <v>21</v>
      </c>
      <c r="E13" s="14" t="s">
        <v>85</v>
      </c>
      <c r="F13" s="14" t="s">
        <v>1030</v>
      </c>
      <c r="G13" s="14" t="s">
        <v>98</v>
      </c>
      <c r="H13" s="14" t="s">
        <v>368</v>
      </c>
      <c r="I13" s="14" t="s">
        <v>1031</v>
      </c>
      <c r="J13" s="14" t="s">
        <v>1032</v>
      </c>
      <c r="K13" s="14" t="s">
        <v>393</v>
      </c>
      <c r="L13" s="14" t="s">
        <v>68</v>
      </c>
      <c r="M13" s="15">
        <v>1</v>
      </c>
      <c r="N13" s="15">
        <v>2.96</v>
      </c>
      <c r="O13" s="15">
        <v>51.49</v>
      </c>
    </row>
    <row r="14" spans="1:15" x14ac:dyDescent="0.25">
      <c r="A14" s="10" t="s">
        <v>1</v>
      </c>
      <c r="B14" s="10" t="s">
        <v>1011</v>
      </c>
      <c r="C14" s="10" t="s">
        <v>1</v>
      </c>
      <c r="D14" s="10" t="s">
        <v>1</v>
      </c>
      <c r="E14" s="10" t="s">
        <v>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10" t="s">
        <v>1</v>
      </c>
      <c r="L14" s="10" t="s">
        <v>1</v>
      </c>
      <c r="M14" s="11">
        <v>1</v>
      </c>
      <c r="N14" s="11">
        <v>2.96</v>
      </c>
      <c r="O14" s="11">
        <v>51.49</v>
      </c>
    </row>
    <row r="15" spans="1:15" x14ac:dyDescent="0.25">
      <c r="B15" s="2" t="s">
        <v>1</v>
      </c>
    </row>
    <row r="16" spans="1:15" x14ac:dyDescent="0.25">
      <c r="B16" s="2" t="s">
        <v>1012</v>
      </c>
    </row>
    <row r="17" spans="1:15" x14ac:dyDescent="0.25">
      <c r="B17" s="2" t="s">
        <v>1</v>
      </c>
    </row>
    <row r="18" spans="1:15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  <c r="M18" s="6" t="s">
        <v>16</v>
      </c>
      <c r="N18" s="6" t="s">
        <v>17</v>
      </c>
      <c r="O18" s="6" t="s">
        <v>18</v>
      </c>
    </row>
    <row r="19" spans="1:15" x14ac:dyDescent="0.25">
      <c r="A19" s="14" t="s">
        <v>386</v>
      </c>
      <c r="B19" s="14" t="s">
        <v>417</v>
      </c>
      <c r="C19" s="7">
        <v>45963</v>
      </c>
      <c r="D19" s="14" t="s">
        <v>21</v>
      </c>
      <c r="E19" s="14" t="s">
        <v>85</v>
      </c>
      <c r="F19" s="14" t="s">
        <v>1030</v>
      </c>
      <c r="G19" s="14" t="s">
        <v>98</v>
      </c>
      <c r="H19" s="14" t="s">
        <v>368</v>
      </c>
      <c r="I19" s="14" t="s">
        <v>1033</v>
      </c>
      <c r="J19" s="14" t="s">
        <v>1034</v>
      </c>
      <c r="K19" s="14" t="s">
        <v>393</v>
      </c>
      <c r="L19" s="14" t="s">
        <v>68</v>
      </c>
      <c r="M19" s="15">
        <v>1</v>
      </c>
      <c r="N19" s="15">
        <v>3.2</v>
      </c>
      <c r="O19" s="15">
        <v>55.67</v>
      </c>
    </row>
    <row r="20" spans="1:15" x14ac:dyDescent="0.25">
      <c r="A20" s="10" t="s">
        <v>1</v>
      </c>
      <c r="B20" s="10" t="s">
        <v>1015</v>
      </c>
      <c r="C20" s="10" t="s">
        <v>1</v>
      </c>
      <c r="D20" s="10" t="s">
        <v>1</v>
      </c>
      <c r="E20" s="10" t="s">
        <v>1</v>
      </c>
      <c r="F20" s="10" t="s">
        <v>1</v>
      </c>
      <c r="G20" s="10" t="s">
        <v>1</v>
      </c>
      <c r="H20" s="10" t="s">
        <v>1</v>
      </c>
      <c r="I20" s="10" t="s">
        <v>1</v>
      </c>
      <c r="J20" s="10" t="s">
        <v>1</v>
      </c>
      <c r="K20" s="10" t="s">
        <v>1</v>
      </c>
      <c r="L20" s="10" t="s">
        <v>1</v>
      </c>
      <c r="M20" s="11">
        <v>1</v>
      </c>
      <c r="N20" s="11">
        <v>3.2</v>
      </c>
      <c r="O20" s="11">
        <v>55.67</v>
      </c>
    </row>
    <row r="21" spans="1:15" x14ac:dyDescent="0.25">
      <c r="A21" s="5" t="s">
        <v>1</v>
      </c>
      <c r="B21" s="5" t="s">
        <v>623</v>
      </c>
      <c r="C21" s="5" t="s">
        <v>1</v>
      </c>
      <c r="D21" s="5" t="s">
        <v>1</v>
      </c>
      <c r="E21" s="5" t="s">
        <v>1</v>
      </c>
      <c r="F21" s="5" t="s">
        <v>1</v>
      </c>
      <c r="G21" s="5" t="s">
        <v>1</v>
      </c>
      <c r="H21" s="5" t="s">
        <v>1</v>
      </c>
      <c r="I21" s="5" t="s">
        <v>1</v>
      </c>
      <c r="J21" s="5" t="s">
        <v>1</v>
      </c>
      <c r="K21" s="5" t="s">
        <v>1</v>
      </c>
      <c r="L21" s="5" t="s">
        <v>1</v>
      </c>
      <c r="M21" s="5">
        <v>2</v>
      </c>
      <c r="N21" s="5">
        <v>6.16</v>
      </c>
      <c r="O21" s="5">
        <v>107.16</v>
      </c>
    </row>
    <row r="22" spans="1:15" x14ac:dyDescent="0.25">
      <c r="A22" s="10" t="s">
        <v>1</v>
      </c>
      <c r="B22" s="10" t="s">
        <v>1035</v>
      </c>
      <c r="C22" s="10" t="s">
        <v>1</v>
      </c>
      <c r="D22" s="10" t="s">
        <v>1</v>
      </c>
      <c r="E22" s="10" t="s">
        <v>1</v>
      </c>
      <c r="F22" s="10" t="s">
        <v>1</v>
      </c>
      <c r="G22" s="10" t="s">
        <v>1</v>
      </c>
      <c r="H22" s="10" t="s">
        <v>1</v>
      </c>
      <c r="I22" s="10" t="s">
        <v>1</v>
      </c>
      <c r="J22" s="10" t="s">
        <v>1</v>
      </c>
      <c r="K22" s="10" t="s">
        <v>1</v>
      </c>
      <c r="L22" s="10" t="s">
        <v>1</v>
      </c>
      <c r="M22" s="11">
        <v>2</v>
      </c>
      <c r="N22" s="11">
        <v>6.16</v>
      </c>
      <c r="O22" s="11">
        <v>107.16</v>
      </c>
    </row>
    <row r="23" spans="1:15" x14ac:dyDescent="0.25">
      <c r="A23" s="5" t="s">
        <v>1</v>
      </c>
      <c r="B23" s="5" t="s">
        <v>1036</v>
      </c>
      <c r="C23" s="5" t="s">
        <v>1</v>
      </c>
      <c r="D23" s="5" t="s">
        <v>1</v>
      </c>
      <c r="E23" s="5" t="s">
        <v>1</v>
      </c>
      <c r="F23" s="5" t="s">
        <v>1</v>
      </c>
      <c r="G23" s="5" t="s">
        <v>1</v>
      </c>
      <c r="H23" s="5" t="s">
        <v>1</v>
      </c>
      <c r="I23" s="5" t="s">
        <v>1</v>
      </c>
      <c r="J23" s="5" t="s">
        <v>1</v>
      </c>
      <c r="K23" s="5" t="s">
        <v>1</v>
      </c>
      <c r="L23" s="5" t="s">
        <v>1</v>
      </c>
      <c r="M23" s="5">
        <v>434</v>
      </c>
      <c r="N23" s="5">
        <v>1730.39</v>
      </c>
      <c r="O23" s="5">
        <v>63015.24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DECHETTERIES___SECTEUR_EST___Tr</vt:lpstr>
      <vt:lpstr>DECHETTERIES___SECTEUR_EST_##2</vt:lpstr>
      <vt:lpstr>DECHETTERIES___SECTEUR_EST_##3</vt:lpstr>
      <vt:lpstr>DECHETTERIES___SECTEUR_EST_##4</vt:lpstr>
      <vt:lpstr>DECHETTERIES___SECTEUR_EST_##5</vt:lpstr>
      <vt:lpstr>DECHETTERIES___SECTEUR_EST_##7</vt:lpstr>
      <vt:lpstr>DECHETTERIES___SECTEUR_EST_##6</vt:lpstr>
      <vt:lpstr>DECHETTERIES___SECTEUR_EST_##8</vt:lpstr>
      <vt:lpstr>DECHETTERIES___SECTEUR_EST_##9</vt:lpstr>
      <vt:lpstr>DECHETTERIES___SECTEUR_EST_##10</vt:lpstr>
      <vt:lpstr>DECHETTERIES___SECTEUR_EST_##11</vt:lpstr>
      <vt:lpstr>DECHETTERIES___SECTEUR_EST_##12</vt:lpstr>
      <vt:lpstr>DECHETTERIES___SECTEUR_EST_##13</vt:lpstr>
      <vt:lpstr>DECHETTERIES___SECTEUR_OUEST___</vt:lpstr>
      <vt:lpstr>DECHETTERIES___SECTEUR_OUES##2</vt:lpstr>
      <vt:lpstr>DECHETTERIES___SECTEUR_OUES##3</vt:lpstr>
      <vt:lpstr>DECHETTERIES___SECTEUR_OUES##4</vt:lpstr>
      <vt:lpstr>DECHETTERIES___SECTEUR_OUES##5</vt:lpstr>
      <vt:lpstr>DECHETTERIES___SECTEUR_OUES##7</vt:lpstr>
      <vt:lpstr>DECHETTERIES___SECTEUR_OUES##6</vt:lpstr>
      <vt:lpstr>DECHETTERIES___SECTEUR_OUES##8</vt:lpstr>
      <vt:lpstr>DECHETTERIES___SECTEUR_OUES##9</vt:lpstr>
      <vt:lpstr>DECHETTERIES___SECTEUR_OUES##10</vt:lpstr>
      <vt:lpstr>DECHETTERIES___SECTEUR_OUES##11</vt:lpstr>
      <vt:lpstr>DECHETTERIES___SECTEUR_OUES##12</vt:lpstr>
      <vt:lpstr>DECHETTERIES___SECTEUR_OUES##13</vt:lpstr>
      <vt:lpstr>DECHETTERIES___SECTEUR_OUES##14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2025-12-09T09:49:50Z</dcterms:created>
  <dcterms:modified xsi:type="dcterms:W3CDTF">2025-12-09T12:20:43Z</dcterms:modified>
</cp:coreProperties>
</file>